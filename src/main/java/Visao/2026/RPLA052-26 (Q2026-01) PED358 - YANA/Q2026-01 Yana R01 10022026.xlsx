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1. Cotações\2026\Q2026-01\1. ORÇAMENTOS\"/>
    </mc:Choice>
  </mc:AlternateContent>
  <xr:revisionPtr revIDLastSave="0" documentId="13_ncr:1_{AAC9D453-8F90-42BA-A40C-B353B241F5C9}" xr6:coauthVersionLast="47" xr6:coauthVersionMax="47" xr10:uidLastSave="{00000000-0000-0000-0000-000000000000}"/>
  <bookViews>
    <workbookView xWindow="-110" yWindow="-110" windowWidth="19420" windowHeight="11500" xr2:uid="{AC76A29E-D887-4C91-BBDD-C570D04D0A8E}"/>
  </bookViews>
  <sheets>
    <sheet name="Espelho do Orçamento" sheetId="1" r:id="rId1"/>
  </sheets>
  <definedNames>
    <definedName name="Base_Acréssimo">#REF!</definedName>
    <definedName name="Base_AjustePreç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Comparador_FornecedorA">#REF!</definedName>
    <definedName name="Comparador_FornecedorB">#REF!</definedName>
    <definedName name="ListBox_Fornecerdores">#REF!</definedName>
    <definedName name="Pesquisa_FornecedorA">#REF!</definedName>
    <definedName name="Pesquisa_FornecedorB">#REF!</definedName>
    <definedName name="Pesquisa_Fornecedor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U35" i="1"/>
  <c r="A35" i="1"/>
  <c r="U34" i="1"/>
  <c r="A34" i="1"/>
  <c r="U33" i="1"/>
  <c r="A33" i="1"/>
  <c r="S32" i="1"/>
  <c r="U32" i="1"/>
  <c r="A32" i="1"/>
  <c r="U31" i="1"/>
  <c r="A31" i="1"/>
  <c r="S30" i="1"/>
  <c r="A30" i="1"/>
  <c r="U29" i="1"/>
  <c r="A29" i="1"/>
  <c r="U28" i="1"/>
  <c r="A28" i="1"/>
  <c r="U27" i="1"/>
  <c r="A27" i="1"/>
  <c r="U26" i="1"/>
  <c r="A26" i="1"/>
  <c r="U25" i="1"/>
  <c r="A25" i="1"/>
  <c r="U24" i="1"/>
  <c r="A24" i="1"/>
  <c r="U23" i="1"/>
  <c r="A23" i="1"/>
  <c r="U22" i="1"/>
  <c r="A22" i="1"/>
  <c r="U21" i="1"/>
  <c r="A21" i="1"/>
  <c r="U20" i="1"/>
  <c r="A20" i="1"/>
  <c r="U19" i="1"/>
  <c r="A19" i="1"/>
  <c r="U18" i="1"/>
  <c r="A18" i="1"/>
  <c r="U17" i="1"/>
  <c r="A17" i="1"/>
  <c r="U16" i="1"/>
  <c r="A16" i="1"/>
  <c r="U15" i="1"/>
  <c r="A15" i="1"/>
  <c r="U14" i="1"/>
  <c r="A14" i="1"/>
  <c r="U13" i="1"/>
  <c r="A13" i="1"/>
  <c r="U12" i="1"/>
  <c r="A12" i="1"/>
  <c r="U11" i="1"/>
  <c r="U10" i="1"/>
  <c r="A10" i="1"/>
  <c r="U9" i="1"/>
  <c r="A9" i="1"/>
  <c r="U8" i="1"/>
  <c r="A8" i="1"/>
  <c r="U7" i="1"/>
  <c r="A7" i="1"/>
  <c r="U6" i="1"/>
  <c r="A6" i="1"/>
  <c r="U5" i="1"/>
  <c r="A5" i="1"/>
  <c r="U4" i="1"/>
  <c r="A4" i="1"/>
  <c r="U3" i="1"/>
  <c r="A3" i="1"/>
  <c r="U2" i="1"/>
  <c r="A2" i="1"/>
  <c r="S34" i="1" l="1"/>
  <c r="S35" i="1"/>
  <c r="S4" i="1"/>
  <c r="S7" i="1"/>
  <c r="S11" i="1"/>
  <c r="S15" i="1"/>
  <c r="S19" i="1"/>
  <c r="S23" i="1"/>
  <c r="S26" i="1"/>
  <c r="U30" i="1"/>
  <c r="U36" i="1" s="1"/>
  <c r="S3" i="1"/>
  <c r="S6" i="1"/>
  <c r="S10" i="1"/>
  <c r="S14" i="1"/>
  <c r="S18" i="1"/>
  <c r="S22" i="1"/>
  <c r="S29" i="1"/>
  <c r="S33" i="1"/>
  <c r="S9" i="1"/>
  <c r="S13" i="1"/>
  <c r="S17" i="1"/>
  <c r="S21" i="1"/>
  <c r="S25" i="1"/>
  <c r="S28" i="1"/>
  <c r="S2" i="1"/>
  <c r="S31" i="1"/>
  <c r="S5" i="1"/>
  <c r="S8" i="1"/>
  <c r="S12" i="1"/>
  <c r="S16" i="1"/>
  <c r="S20" i="1"/>
  <c r="S24" i="1"/>
  <c r="S27" i="1"/>
</calcChain>
</file>

<file path=xl/sharedStrings.xml><?xml version="1.0" encoding="utf-8"?>
<sst xmlns="http://schemas.openxmlformats.org/spreadsheetml/2006/main" count="568" uniqueCount="127">
  <si>
    <t>ITEM</t>
  </si>
  <si>
    <t>ID_ITEM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</si>
  <si>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</si>
  <si>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</si>
  <si>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</si>
  <si>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</si>
  <si>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</si>
  <si>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</si>
  <si>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</si>
  <si>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</si>
  <si>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</si>
  <si>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</si>
  <si>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</si>
  <si>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</si>
  <si>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</si>
  <si>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UNIT OF MEASUREMENT</t>
  </si>
  <si>
    <t>QUANTITY</t>
  </si>
  <si>
    <t>NET WEIGHT (Kg)</t>
  </si>
  <si>
    <t>TOTAL NET WEIGHT (Kg)</t>
  </si>
  <si>
    <t>PRICE UNIT. (USD)</t>
  </si>
  <si>
    <t>TOTAL PRICE (USD)</t>
  </si>
  <si>
    <t>NCM CODE</t>
  </si>
  <si>
    <t>PRODUCT LINE (PT-BR)</t>
  </si>
  <si>
    <t>HEAT NUMBER</t>
  </si>
  <si>
    <t>MMR2104.2008</t>
  </si>
  <si>
    <t>MMR2104.2009</t>
  </si>
  <si>
    <t>MMR2104.2010</t>
  </si>
  <si>
    <t>MMR2104.2011</t>
  </si>
  <si>
    <t>MMR2104.5005</t>
  </si>
  <si>
    <t>MMR2104.5006</t>
  </si>
  <si>
    <t>MMR2104.5008</t>
  </si>
  <si>
    <t>MMR2104.5009</t>
  </si>
  <si>
    <t>MMR2104.5010</t>
  </si>
  <si>
    <t>MMR2104.5012</t>
  </si>
  <si>
    <t>MMR2104.5013</t>
  </si>
  <si>
    <t>MMR2104.5014</t>
  </si>
  <si>
    <t>MMR2104.5015</t>
  </si>
  <si>
    <t>MMR2809.5204</t>
  </si>
  <si>
    <t>MMR2809.5205</t>
  </si>
  <si>
    <t>MMR2809.5304</t>
  </si>
  <si>
    <t>MMR2809.5305</t>
  </si>
  <si>
    <t>MMR2809.5308</t>
  </si>
  <si>
    <t>MMR2810.5204</t>
  </si>
  <si>
    <t>MMR2810.5205</t>
  </si>
  <si>
    <t>MMR2810.5304</t>
  </si>
  <si>
    <t>MMR2810.5305</t>
  </si>
  <si>
    <t>MMR2810.5308</t>
  </si>
  <si>
    <t>MMR2811.5206</t>
  </si>
  <si>
    <t>MMR2811.5208</t>
  </si>
  <si>
    <t>MMR2811.5209</t>
  </si>
  <si>
    <t>MMR2811.5308</t>
  </si>
  <si>
    <t>MMR2902.5004</t>
  </si>
  <si>
    <t>MMR2902.5005</t>
  </si>
  <si>
    <t>MMR2902.5006</t>
  </si>
  <si>
    <t>MMR2902.5008</t>
  </si>
  <si>
    <t>MMR2902.5009</t>
  </si>
  <si>
    <t>MMR2902.5012</t>
  </si>
  <si>
    <t>MMR2902.5014</t>
  </si>
  <si>
    <t>FILTRO Y 150 LBS FLANGEADO ANSI B16.5 150 LBS 316 DN040 - 1.1/2"</t>
  </si>
  <si>
    <t>Y FILTER 150LBS SCREEN 0,8MM 316 FLANGED ANSI 150LBS; WITH LUDOX CASTING</t>
  </si>
  <si>
    <t>-</t>
  </si>
  <si>
    <t>ASTM A351 GRAU CF8M(316)</t>
  </si>
  <si>
    <t>150LBS</t>
  </si>
  <si>
    <t>DN040 - 1.1/2P</t>
  </si>
  <si>
    <t>FLANGED ANSI 150LBS</t>
  </si>
  <si>
    <t>UN</t>
  </si>
  <si>
    <t>FILTRO Y 150 LBS FLANGEADO ANSI B16.5 150 LBS 316 DN050 - 2"</t>
  </si>
  <si>
    <t>DN050 - 2P</t>
  </si>
  <si>
    <t>FILTRO Y 150 LBS FLANGEADO ANSI B16.5 150 LBS 316 DN065 - 2.1/2"</t>
  </si>
  <si>
    <t>DN065 - 2.1/2P</t>
  </si>
  <si>
    <t>FILTRO Y 150 LBS FLANGEADO ANSI B16.5 150 LBS 316 DN080 - 3"</t>
  </si>
  <si>
    <t>DN080 - 3P</t>
  </si>
  <si>
    <t xml:space="preserve"> DN150 - 6P </t>
  </si>
  <si>
    <t>FILTRO Y 150 LBS FLANGEADO ANSI B16.5 150 LBS WCB DN020 - 3/4"</t>
  </si>
  <si>
    <t>Y FILTER 150LBS SCREEN 0,8MM 304 FLANGED ANSI 150LBS</t>
  </si>
  <si>
    <t>ASTM A216 GRAU WCB</t>
  </si>
  <si>
    <t>DN020 - 3/4P</t>
  </si>
  <si>
    <t>FILTRO Y 150 LBS FLANGEADO ANSI B16.5 150 LBS WCB DN025 - 1"</t>
  </si>
  <si>
    <t>DN025 - 1P</t>
  </si>
  <si>
    <t>FILTRO Y 150 LBS FLANGEADO ANSI B16.5 150 LBS WCB DN040 - 1.1/2"</t>
  </si>
  <si>
    <t>FILTRO Y 150 LBS FLANGEADO ANSI B16.5 150 LBS WCB DN050 - 2"</t>
  </si>
  <si>
    <t>FILTRO Y 150 LBS FLANGEADO ANSI B16.5 150 LBS WCB DN065 - 2.1/2"</t>
  </si>
  <si>
    <t>FILTRO Y 150 LBS FLANGEADO ANSI B16.5 150 LBS WCB DN100 - 4"</t>
  </si>
  <si>
    <t>DN100 - 4P</t>
  </si>
  <si>
    <t>FILTRO Y 150 LBS FLANGEADO ANSI B16.5 150 LBS WCB DN125 - 5"</t>
  </si>
  <si>
    <t xml:space="preserve"> DN125 - 5P </t>
  </si>
  <si>
    <t>FILTRO Y 150 LBS FLANGEADO ANSI B16.5 150 LBS WCB DN150 - 6"</t>
  </si>
  <si>
    <t>FILTRO Y 150 LBS FLANGEADO ANSI B16.5 150 LBS WCB DN200 - 8"</t>
  </si>
  <si>
    <t xml:space="preserve"> DN200 - 8P </t>
  </si>
  <si>
    <t>VÁLVULA GLOBO FORJADA 800LBS ASTM A105-AC DN015 - 1/2P NPT</t>
  </si>
  <si>
    <t>FORGED STEEL GLOBE VALVE CLASS 800LBS/MODEL Heavy Duty</t>
  </si>
  <si>
    <t>BODY: A105/TRIM: 13CR;</t>
  </si>
  <si>
    <t>ASTM A105-AC</t>
  </si>
  <si>
    <t>800LBS</t>
  </si>
  <si>
    <t>DN015 - 1/2P</t>
  </si>
  <si>
    <t>NPT</t>
  </si>
  <si>
    <t>STANDARD OF CONSTRUCTION: API602
TEST STANDARD: API598</t>
  </si>
  <si>
    <t>VÁLVULA GLOBO FORJADA 800LBS ASTM A105-AC DN020 - 3/4P NPT</t>
  </si>
  <si>
    <t>VALVULA GLOBO FORJADA 800LBS ASTM A105-AC DN015 - 1/2P SW</t>
  </si>
  <si>
    <t>SW</t>
  </si>
  <si>
    <t>VALVULA GLOBO FORJADA 800LBS ASTM A105-AC DN020 - 3/4P SW</t>
  </si>
  <si>
    <t>VALVULA GLOBO FORJADA 800LBS ASTM A105-AC DN040 - 1.1/2P SW</t>
  </si>
  <si>
    <t>VÁLVULA GAVETA FORJADA 800LBS ASTM A105-AC DN015 - 1/2P NPT</t>
  </si>
  <si>
    <t>FORGED STEEL GATE VALVE CLASS 800LBS/MODEL Heavy Duty</t>
  </si>
  <si>
    <t>VÁLVULA GAVETA FORJADA 800LBS ASTM A105-AC DN020 - 3/4P NPT</t>
  </si>
  <si>
    <t>VALVULA GAVETA FORJADA 800LBS ASTM A105-AC DN015 - 1/2P SW</t>
  </si>
  <si>
    <t>VALVULA GAVETA FORJADA 800LBS ASTM A105-AC DN020 - 3/4P SW</t>
  </si>
  <si>
    <t>VALVULA GAVETA FORJADA 800LBS ASTM A105-AC DN040 - 1.1/2P SW</t>
  </si>
  <si>
    <t>VALVULA RETENCAO PISTAO FORJADA 800LBS ASTM A105-AC DN025 - 1P NPT</t>
  </si>
  <si>
    <t>CHECK VALVE CLASS 800 PISTON LIFT TYPE/MODEL Heavy Duty</t>
  </si>
  <si>
    <t>VALVULA RETENCAO PISTAO FORJADA 800LBS ASTM A105-AC DN040 - 1.1/2P NPT</t>
  </si>
  <si>
    <t>VALVULA RETENCAO PISTAO FORJADA 800LBS ASTM A105-AC DN050 - 2P NPT</t>
  </si>
  <si>
    <t>VALVULA RETENCAO PISTAO FORJADA 800LBS ASTM A105-AC DN040 - 1.1/2P SW</t>
  </si>
  <si>
    <t>VALVULA GLOBO COM FOLEM FLANGEADA DIN PN16 WCB DN015 - 1/2P</t>
  </si>
  <si>
    <t>BODY ASTM A216 GRAU WCB</t>
  </si>
  <si>
    <t>DIN PN16</t>
  </si>
  <si>
    <t>FLANGED DIN PN16</t>
  </si>
  <si>
    <t>VALVULA GLOBO COM FOLEM FLANGEADA DIN PN16 WCB DN020 - 3/4P</t>
  </si>
  <si>
    <t>VALVULA GLOBO COM FOLEM FLANGEADA DIN PN16 WCB DN025 - 1P</t>
  </si>
  <si>
    <t>VALVULA GLOBO COM FOLEM FLANGEADA DIN PN16 WCB DN040 - 1.1/2P</t>
  </si>
  <si>
    <t>VALVULA GLOBO COM FOLEM FLANGEADA DIN PN16 WCB DN050 - 2P</t>
  </si>
  <si>
    <t>VALVULA GLOBO COM FOLEM FLANGEADA DIN PN16 WCB DN100 - 4P</t>
  </si>
  <si>
    <t>VALVULA GLOBO COM FOLEM FLANGEADA DIN PN16 WCB DN150 - 6P</t>
  </si>
  <si>
    <t>FILTRO Y (14)</t>
  </si>
  <si>
    <t>VALV FORJADA (30)</t>
  </si>
  <si>
    <t>VALV GLOBO (31)</t>
  </si>
  <si>
    <t>BELLOWS GLOBE VALVE WITH FOLE FLANGED DIN PN16/BELLOWS  SS316/DISC ASTM A216 WCB +13cr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</si>
</sst>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[$$-409]* #,##0.00_ ;_-[$$-409]* \-#,##0.00\ ;_-[$$-409]* &quot;-&quot;??_ ;_-@_ "/>
  </numFmts>
  <fonts count="8">
    <font>
      <sz val="11"/>
      <color theme="1"/>
      <name val="Calibri"/>
      <family val="2"/>
      <scheme val="minor"/>
    </font>
    <font>
      <b/>
      <sz val="8"/>
      <color theme="0"/>
      <name val="Aptos Narrow"/>
      <family val="2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b/>
      <sz val="8"/>
      <color rgb="FFFF0000"/>
      <name val="Aptos Narrow"/>
      <family val="2"/>
    </font>
    <font>
      <b/>
      <sz val="8"/>
      <name val="Aptos Narrow"/>
      <family val="2"/>
    </font>
    <font>
      <sz val="8"/>
      <name val="Aptos Narrow"/>
      <family val="2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1">
    <cellStyle name="Normal" xfId="0" builtinId="0"/>
  </cellStyles>
  <dxfs count="50"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Narrow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Narrow"/>
        <family val="2"/>
        <scheme val="none"/>
      </font>
      <numFmt numFmtId="165" formatCode="_-[$$-409]* #,##0.00_ ;_-[$$-409]* \-#,##0.00\ ;_-[$$-409]* &quot;-&quot;??_ ;_-@_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numFmt numFmtId="164" formatCode="0.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Narrow"/>
        <family val="2"/>
        <scheme val="none"/>
      </font>
      <numFmt numFmtId="164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0"/>
        <name val="Aptos Narrow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0CC33-9D8C-49CB-9C35-04E07DD9B9E2}" name="Banco_OrçamentoEspelho" displayName="Banco_OrçamentoEspelho" ref="A1:X36" totalsRowCount="1" headerRowDxfId="49" dataDxfId="29">
  <tableColumns count="24">
    <tableColumn id="1" xr3:uid="{4E2ED2A7-6B5A-41A8-838A-042ECE1AF0D9}" name="ITEM" dataDxfId="48" totalsRowDxfId="26">
      <calculatedColumnFormula>ROW()-ROW(Banco_OrçamentoEspelho[[#Headers],[ITEM]])</calculatedColumnFormula>
    </tableColumn>
    <tableColumn id="2" xr3:uid="{D709A7BB-9609-4276-A642-8898C83ADA03}" name="ID_ITEM" dataDxfId="47" totalsRowDxfId="25"/>
    <tableColumn id="4" xr3:uid="{662D1255-B0E4-46CB-8941-3BC88373BB29}" name="FULL DESCRIPTION (PT-BR)" dataDxfId="46" totalsRowDxfId="24"/>
    <tableColumn id="5" xr3:uid="{2B65F5D9-9DD3-4CB9-B200-E601EC1BDC34}" name="DESCRIPTION" dataDxfId="45" totalsRowDxfId="23"/>
    <tableColumn id="6" xr3:uid="{88F6E227-3945-4F49-B76E-824E5763379F}" name="DETAILED DESCRIPTION" dataDxfId="44" totalsRowDxfId="22"/>
    <tableColumn id="7" xr3:uid="{D1CD19B6-82C1-4400-AAA5-D53632A8E2D5}" name="MATERIAL" dataDxfId="43" totalsRowDxfId="21"/>
    <tableColumn id="8" xr3:uid="{7E77C576-4364-427E-9151-5AF8631EA1AC}" name="PRESSURE CLASS" dataDxfId="42" totalsRowDxfId="20"/>
    <tableColumn id="9" xr3:uid="{001C87C6-3796-4B97-8F06-5AE0CE3F994D}" name="SIZE 1-0" dataDxfId="41" totalsRowDxfId="19"/>
    <tableColumn id="10" xr3:uid="{9C3DB3BE-1F36-4D18-B87A-BA91F53E360C}" name="SIZE 1-1" dataDxfId="40" totalsRowDxfId="18"/>
    <tableColumn id="11" xr3:uid="{7020C78A-88DC-43C7-A036-ACC3E81C9000}" name="SIZE 2-0" dataDxfId="39" totalsRowDxfId="17"/>
    <tableColumn id="12" xr3:uid="{6D5694E0-254F-4641-8372-449757BE2643}" name="SIZE 2-1" dataDxfId="38" totalsRowDxfId="16"/>
    <tableColumn id="13" xr3:uid="{11051D95-77BA-463C-887B-8E73C30FF4CB}" name="FULL SIZE" dataDxfId="37" totalsRowDxfId="15"/>
    <tableColumn id="14" xr3:uid="{DD393010-8F7B-4C6C-89AD-42AE0A2425A4}" name="CONNECTION TERMINALS" dataDxfId="36" totalsRowDxfId="14"/>
    <tableColumn id="25" xr3:uid="{8FC4BE27-F1FB-4718-B8BD-8903C3B4F8E9}" name="CONSTRUCTION / TESTING STANDARDS" dataDxfId="35" totalsRowDxfId="13"/>
    <tableColumn id="15" xr3:uid="{C9A1C55F-F6E6-4AF0-84F8-FBD95D566449}" name="MANUFACTURING DETAILS" dataDxfId="34" totalsRowDxfId="12"/>
    <tableColumn id="16" xr3:uid="{7654E9C1-D7D4-4264-8F3E-D7AD5EA902BC}" name="UNIT OF MEASUREMENT" dataDxfId="33" totalsRowDxfId="11"/>
    <tableColumn id="17" xr3:uid="{21FA0217-5462-45C5-9C11-BD779DFADB6D}" name="QUANTITY" dataDxfId="32" totalsRowDxfId="10"/>
    <tableColumn id="19" xr3:uid="{9088ACE0-F643-4248-8951-37A3AEA902D5}" name="NET WEIGHT (Kg)" dataDxfId="31" totalsRowDxfId="9"/>
    <tableColumn id="26" xr3:uid="{37E418AF-F0C9-445D-944E-A8D3AECC73D3}" name="TOTAL NET WEIGHT (Kg)" dataDxfId="2" totalsRowDxfId="8">
      <calculatedColumnFormula>Banco_OrçamentoEspelho[[#This Row],[NET WEIGHT (Kg)]]*Banco_OrçamentoEspelho[[#This Row],[QUANTITY]]</calculatedColumnFormula>
    </tableColumn>
    <tableColumn id="20" xr3:uid="{47AC5EF9-FA77-43C2-B158-9862C2C59E6F}" name="PRICE UNIT. (USD)" dataDxfId="0" totalsRowDxfId="7"/>
    <tableColumn id="21" xr3:uid="{BE18CB97-DA03-4446-ACEB-201F62C0836F}" name="TOTAL PRICE (USD)" totalsRowFunction="custom" dataDxfId="1" totalsRowDxfId="6">
      <calculatedColumnFormula>Banco_OrçamentoEspelho[[#This Row],[PRICE UNIT. (USD)]]*Banco_OrçamentoEspelho[[#This Row],[QUANTITY]]</calculatedColumnFormula>
      <totalsRowFormula>SUBTOTAL(109,U2:U35)</totalsRowFormula>
    </tableColumn>
    <tableColumn id="22" xr3:uid="{CA2A40FC-E609-4176-B2E6-4D6443C18E56}" name="NCM CODE" dataDxfId="30" totalsRowDxfId="5"/>
    <tableColumn id="23" xr3:uid="{3A94F777-E28C-482E-85F1-EC7A971C7C34}" name="PRODUCT LINE (PT-BR)" dataDxfId="28" totalsRowDxfId="4"/>
    <tableColumn id="24" xr3:uid="{DDD8DAE8-39E8-4F69-A859-738D0847363A}" name="HEAT NUMBER" dataDxfId="27" totalsRow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5463-B1FF-40C2-99AF-F0AC0D7F26C2}">
  <sheetPr>
    <tabColor rgb="FFFF0000"/>
  </sheetPr>
  <dimension ref="A1:X36"/>
  <sheetViews>
    <sheetView tabSelected="1" workbookViewId="0">
      <selection activeCell="S21" sqref="S21"/>
    </sheetView>
  </sheetViews>
  <sheetFormatPr defaultColWidth="9.08984375" defaultRowHeight="10.5" outlineLevelCol="1"/>
  <cols>
    <col min="1" max="1" width="4.08984375" style="4" bestFit="1" customWidth="1"/>
    <col min="2" max="2" width="9.81640625" style="4" bestFit="1" customWidth="1"/>
    <col min="3" max="3" width="49.26953125" style="4" bestFit="1" customWidth="1" outlineLevel="1"/>
    <col min="4" max="4" width="50.54296875" style="4" customWidth="1"/>
    <col min="5" max="5" width="16.81640625" style="4" customWidth="1"/>
    <col min="6" max="6" width="18.6328125" style="4" customWidth="1"/>
    <col min="7" max="7" width="12" style="4" hidden="1" customWidth="1"/>
    <col min="8" max="11" width="6" style="4" hidden="1" customWidth="1" outlineLevel="1"/>
    <col min="12" max="12" width="9.36328125" style="4" bestFit="1" customWidth="1" collapsed="1"/>
    <col min="13" max="13" width="16.08984375" style="4" bestFit="1" customWidth="1"/>
    <col min="14" max="14" width="39.453125" style="4" bestFit="1" customWidth="1"/>
    <col min="15" max="15" width="11.36328125" style="4" bestFit="1" customWidth="1"/>
    <col min="16" max="16" width="9.90625" style="4" bestFit="1" customWidth="1"/>
    <col min="17" max="17" width="7.90625" style="4" bestFit="1" customWidth="1"/>
    <col min="18" max="18" width="11.6328125" style="4" customWidth="1"/>
    <col min="19" max="19" width="13.6328125" style="4" customWidth="1"/>
    <col min="20" max="20" width="11.6328125" style="4" customWidth="1"/>
    <col min="21" max="21" width="13.6328125" style="4" customWidth="1"/>
    <col min="22" max="22" width="10.36328125" style="4" bestFit="1" customWidth="1"/>
    <col min="23" max="23" width="15.90625" style="4" customWidth="1" outlineLevel="1"/>
    <col min="24" max="24" width="9.90625" style="4" customWidth="1"/>
    <col min="25" max="16384" width="9.08984375" style="4"/>
  </cols>
  <sheetData>
    <row r="1" spans="1:24" ht="2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1" t="s">
        <v>23</v>
      </c>
    </row>
    <row r="2" spans="1:24" s="22" customFormat="1">
      <c r="A2" s="14">
        <f>ROW()-ROW(Banco_OrçamentoEspelho[[#Headers],[ITEM]])</f>
        <v>1</v>
      </c>
      <c r="B2" s="15" t="s">
        <v>24</v>
      </c>
      <c r="C2" s="16" t="s">
        <v>58</v>
      </c>
      <c r="D2" s="16" t="s">
        <v>59</v>
      </c>
      <c r="E2" s="16" t="s">
        <v>60</v>
      </c>
      <c r="F2" s="14" t="s">
        <v>61</v>
      </c>
      <c r="G2" s="14" t="s">
        <v>62</v>
      </c>
      <c r="H2" s="14" t="s">
        <v>60</v>
      </c>
      <c r="I2" s="14" t="s">
        <v>60</v>
      </c>
      <c r="J2" s="14" t="s">
        <v>60</v>
      </c>
      <c r="K2" s="14" t="s">
        <v>60</v>
      </c>
      <c r="L2" s="14" t="s">
        <v>63</v>
      </c>
      <c r="M2" s="14" t="s">
        <v>64</v>
      </c>
      <c r="N2" s="14" t="s">
        <v>60</v>
      </c>
      <c r="O2" s="14" t="s">
        <v>60</v>
      </c>
      <c r="P2" s="14" t="s">
        <v>65</v>
      </c>
      <c r="Q2" s="17">
        <v>50</v>
      </c>
      <c r="R2" s="18"/>
      <c r="S2" s="19">
        <f>Banco_OrçamentoEspelho[[#This Row],[NET WEIGHT (Kg)]]*Banco_OrçamentoEspelho[[#This Row],[QUANTITY]]</f>
        <v>0</v>
      </c>
      <c r="T2" s="10">
        <v>75.2</v>
      </c>
      <c r="U2" s="20">
        <f>Banco_OrçamentoEspelho[[#This Row],[PRICE UNIT. (USD)]]*Banco_OrçamentoEspelho[[#This Row],[QUANTITY]]</f>
        <v>3760</v>
      </c>
      <c r="V2" s="21">
        <v>84212100</v>
      </c>
      <c r="W2" s="14" t="s">
        <v>123</v>
      </c>
      <c r="X2" s="13"/>
    </row>
    <row r="3" spans="1:24" s="22" customFormat="1">
      <c r="A3" s="14">
        <f>ROW()-ROW(Banco_OrçamentoEspelho[[#Headers],[ITEM]])</f>
        <v>2</v>
      </c>
      <c r="B3" s="15" t="s">
        <v>25</v>
      </c>
      <c r="C3" s="16" t="s">
        <v>66</v>
      </c>
      <c r="D3" s="16" t="s">
        <v>59</v>
      </c>
      <c r="E3" s="16" t="s">
        <v>60</v>
      </c>
      <c r="F3" s="14" t="s">
        <v>61</v>
      </c>
      <c r="G3" s="14" t="s">
        <v>62</v>
      </c>
      <c r="H3" s="14" t="s">
        <v>60</v>
      </c>
      <c r="I3" s="14" t="s">
        <v>60</v>
      </c>
      <c r="J3" s="14" t="s">
        <v>60</v>
      </c>
      <c r="K3" s="14" t="s">
        <v>60</v>
      </c>
      <c r="L3" s="14" t="s">
        <v>67</v>
      </c>
      <c r="M3" s="14" t="s">
        <v>64</v>
      </c>
      <c r="N3" s="14" t="s">
        <v>60</v>
      </c>
      <c r="O3" s="14" t="s">
        <v>60</v>
      </c>
      <c r="P3" s="14" t="s">
        <v>65</v>
      </c>
      <c r="Q3" s="17">
        <v>50</v>
      </c>
      <c r="R3" s="18"/>
      <c r="S3" s="19">
        <f>Banco_OrçamentoEspelho[[#This Row],[NET WEIGHT (Kg)]]*Banco_OrçamentoEspelho[[#This Row],[QUANTITY]]</f>
        <v>0</v>
      </c>
      <c r="T3" s="10">
        <v>94.2</v>
      </c>
      <c r="U3" s="20">
        <f>Banco_OrçamentoEspelho[[#This Row],[PRICE UNIT. (USD)]]*Banco_OrçamentoEspelho[[#This Row],[QUANTITY]]</f>
        <v>4710</v>
      </c>
      <c r="V3" s="21">
        <v>84212100</v>
      </c>
      <c r="W3" s="14" t="s">
        <v>123</v>
      </c>
      <c r="X3" s="13"/>
    </row>
    <row r="4" spans="1:24" s="22" customFormat="1">
      <c r="A4" s="14">
        <f>ROW()-ROW(Banco_OrçamentoEspelho[[#Headers],[ITEM]])</f>
        <v>3</v>
      </c>
      <c r="B4" s="15" t="s">
        <v>26</v>
      </c>
      <c r="C4" s="16" t="s">
        <v>68</v>
      </c>
      <c r="D4" s="16" t="s">
        <v>59</v>
      </c>
      <c r="E4" s="16" t="s">
        <v>60</v>
      </c>
      <c r="F4" s="14" t="s">
        <v>61</v>
      </c>
      <c r="G4" s="14" t="s">
        <v>62</v>
      </c>
      <c r="H4" s="14" t="s">
        <v>60</v>
      </c>
      <c r="I4" s="14" t="s">
        <v>60</v>
      </c>
      <c r="J4" s="14" t="s">
        <v>60</v>
      </c>
      <c r="K4" s="14" t="s">
        <v>60</v>
      </c>
      <c r="L4" s="14" t="s">
        <v>69</v>
      </c>
      <c r="M4" s="14" t="s">
        <v>64</v>
      </c>
      <c r="N4" s="14" t="s">
        <v>60</v>
      </c>
      <c r="O4" s="14" t="s">
        <v>60</v>
      </c>
      <c r="P4" s="14" t="s">
        <v>65</v>
      </c>
      <c r="Q4" s="17">
        <v>20</v>
      </c>
      <c r="R4" s="18"/>
      <c r="S4" s="19">
        <f>Banco_OrçamentoEspelho[[#This Row],[NET WEIGHT (Kg)]]*Banco_OrçamentoEspelho[[#This Row],[QUANTITY]]</f>
        <v>0</v>
      </c>
      <c r="T4" s="10">
        <v>105.8</v>
      </c>
      <c r="U4" s="20">
        <f>Banco_OrçamentoEspelho[[#This Row],[PRICE UNIT. (USD)]]*Banco_OrçamentoEspelho[[#This Row],[QUANTITY]]</f>
        <v>2116</v>
      </c>
      <c r="V4" s="21">
        <v>84212100</v>
      </c>
      <c r="W4" s="14" t="s">
        <v>123</v>
      </c>
      <c r="X4" s="13"/>
    </row>
    <row r="5" spans="1:24" s="22" customFormat="1">
      <c r="A5" s="14">
        <f>ROW()-ROW(Banco_OrçamentoEspelho[[#Headers],[ITEM]])</f>
        <v>4</v>
      </c>
      <c r="B5" s="15" t="s">
        <v>27</v>
      </c>
      <c r="C5" s="16" t="s">
        <v>70</v>
      </c>
      <c r="D5" s="16" t="s">
        <v>59</v>
      </c>
      <c r="E5" s="16" t="s">
        <v>60</v>
      </c>
      <c r="F5" s="14" t="s">
        <v>61</v>
      </c>
      <c r="G5" s="14" t="s">
        <v>62</v>
      </c>
      <c r="H5" s="14" t="s">
        <v>60</v>
      </c>
      <c r="I5" s="14" t="s">
        <v>60</v>
      </c>
      <c r="J5" s="14" t="s">
        <v>60</v>
      </c>
      <c r="K5" s="14" t="s">
        <v>60</v>
      </c>
      <c r="L5" s="14" t="s">
        <v>71</v>
      </c>
      <c r="M5" s="14" t="s">
        <v>64</v>
      </c>
      <c r="N5" s="14" t="s">
        <v>60</v>
      </c>
      <c r="O5" s="14" t="s">
        <v>60</v>
      </c>
      <c r="P5" s="14" t="s">
        <v>65</v>
      </c>
      <c r="Q5" s="17">
        <v>50</v>
      </c>
      <c r="R5" s="18"/>
      <c r="S5" s="19">
        <f>Banco_OrçamentoEspelho[[#This Row],[NET WEIGHT (Kg)]]*Banco_OrçamentoEspelho[[#This Row],[QUANTITY]]</f>
        <v>0</v>
      </c>
      <c r="T5" s="10">
        <v>135.1</v>
      </c>
      <c r="U5" s="20">
        <f>Banco_OrçamentoEspelho[[#This Row],[PRICE UNIT. (USD)]]*Banco_OrçamentoEspelho[[#This Row],[QUANTITY]]</f>
        <v>6755</v>
      </c>
      <c r="V5" s="21">
        <v>84212100</v>
      </c>
      <c r="W5" s="14" t="s">
        <v>123</v>
      </c>
      <c r="X5" s="13"/>
    </row>
    <row r="6" spans="1:24" s="22" customFormat="1">
      <c r="A6" s="14">
        <f>ROW()-ROW(Banco_OrçamentoEspelho[[#Headers],[ITEM]])</f>
        <v>5</v>
      </c>
      <c r="B6" s="15" t="s">
        <v>28</v>
      </c>
      <c r="C6" s="16" t="s">
        <v>73</v>
      </c>
      <c r="D6" s="16" t="s">
        <v>74</v>
      </c>
      <c r="E6" s="16" t="s">
        <v>60</v>
      </c>
      <c r="F6" s="14" t="s">
        <v>75</v>
      </c>
      <c r="G6" s="14" t="s">
        <v>62</v>
      </c>
      <c r="H6" s="14" t="s">
        <v>60</v>
      </c>
      <c r="I6" s="14" t="s">
        <v>60</v>
      </c>
      <c r="J6" s="14" t="s">
        <v>60</v>
      </c>
      <c r="K6" s="14" t="s">
        <v>60</v>
      </c>
      <c r="L6" s="14" t="s">
        <v>76</v>
      </c>
      <c r="M6" s="14" t="s">
        <v>64</v>
      </c>
      <c r="N6" s="14" t="s">
        <v>60</v>
      </c>
      <c r="O6" s="14" t="s">
        <v>60</v>
      </c>
      <c r="P6" s="14" t="s">
        <v>65</v>
      </c>
      <c r="Q6" s="17">
        <v>20</v>
      </c>
      <c r="R6" s="18"/>
      <c r="S6" s="19">
        <f>Banco_OrçamentoEspelho[[#This Row],[NET WEIGHT (Kg)]]*Banco_OrçamentoEspelho[[#This Row],[QUANTITY]]</f>
        <v>0</v>
      </c>
      <c r="T6" s="10">
        <v>15.4</v>
      </c>
      <c r="U6" s="20">
        <f>Banco_OrçamentoEspelho[[#This Row],[PRICE UNIT. (USD)]]*Banco_OrçamentoEspelho[[#This Row],[QUANTITY]]</f>
        <v>308</v>
      </c>
      <c r="V6" s="21">
        <v>84212100</v>
      </c>
      <c r="W6" s="14" t="s">
        <v>123</v>
      </c>
      <c r="X6" s="13"/>
    </row>
    <row r="7" spans="1:24" s="22" customFormat="1">
      <c r="A7" s="14">
        <f>ROW()-ROW(Banco_OrçamentoEspelho[[#Headers],[ITEM]])</f>
        <v>6</v>
      </c>
      <c r="B7" s="15" t="s">
        <v>29</v>
      </c>
      <c r="C7" s="16" t="s">
        <v>77</v>
      </c>
      <c r="D7" s="16" t="s">
        <v>74</v>
      </c>
      <c r="E7" s="16" t="s">
        <v>60</v>
      </c>
      <c r="F7" s="14" t="s">
        <v>75</v>
      </c>
      <c r="G7" s="14" t="s">
        <v>62</v>
      </c>
      <c r="H7" s="14" t="s">
        <v>60</v>
      </c>
      <c r="I7" s="14" t="s">
        <v>60</v>
      </c>
      <c r="J7" s="14" t="s">
        <v>60</v>
      </c>
      <c r="K7" s="14" t="s">
        <v>60</v>
      </c>
      <c r="L7" s="14" t="s">
        <v>78</v>
      </c>
      <c r="M7" s="14" t="s">
        <v>64</v>
      </c>
      <c r="N7" s="14" t="s">
        <v>60</v>
      </c>
      <c r="O7" s="14" t="s">
        <v>60</v>
      </c>
      <c r="P7" s="14" t="s">
        <v>65</v>
      </c>
      <c r="Q7" s="17">
        <v>100</v>
      </c>
      <c r="R7" s="18"/>
      <c r="S7" s="19">
        <f>Banco_OrçamentoEspelho[[#This Row],[NET WEIGHT (Kg)]]*Banco_OrçamentoEspelho[[#This Row],[QUANTITY]]</f>
        <v>0</v>
      </c>
      <c r="T7" s="10">
        <v>17.8</v>
      </c>
      <c r="U7" s="20">
        <f>Banco_OrçamentoEspelho[[#This Row],[PRICE UNIT. (USD)]]*Banco_OrçamentoEspelho[[#This Row],[QUANTITY]]</f>
        <v>1780</v>
      </c>
      <c r="V7" s="21">
        <v>84212100</v>
      </c>
      <c r="W7" s="14" t="s">
        <v>123</v>
      </c>
      <c r="X7" s="13"/>
    </row>
    <row r="8" spans="1:24" s="22" customFormat="1">
      <c r="A8" s="14">
        <f>ROW()-ROW(Banco_OrçamentoEspelho[[#Headers],[ITEM]])</f>
        <v>7</v>
      </c>
      <c r="B8" s="15" t="s">
        <v>30</v>
      </c>
      <c r="C8" s="16" t="s">
        <v>79</v>
      </c>
      <c r="D8" s="16" t="s">
        <v>74</v>
      </c>
      <c r="E8" s="16" t="s">
        <v>60</v>
      </c>
      <c r="F8" s="14" t="s">
        <v>75</v>
      </c>
      <c r="G8" s="14" t="s">
        <v>62</v>
      </c>
      <c r="H8" s="14" t="s">
        <v>60</v>
      </c>
      <c r="I8" s="14" t="s">
        <v>60</v>
      </c>
      <c r="J8" s="14" t="s">
        <v>60</v>
      </c>
      <c r="K8" s="14" t="s">
        <v>60</v>
      </c>
      <c r="L8" s="14" t="s">
        <v>63</v>
      </c>
      <c r="M8" s="14" t="s">
        <v>64</v>
      </c>
      <c r="N8" s="14" t="s">
        <v>60</v>
      </c>
      <c r="O8" s="14" t="s">
        <v>60</v>
      </c>
      <c r="P8" s="14" t="s">
        <v>65</v>
      </c>
      <c r="Q8" s="17">
        <v>145</v>
      </c>
      <c r="R8" s="18"/>
      <c r="S8" s="19">
        <f>Banco_OrçamentoEspelho[[#This Row],[NET WEIGHT (Kg)]]*Banco_OrçamentoEspelho[[#This Row],[QUANTITY]]</f>
        <v>0</v>
      </c>
      <c r="T8" s="10">
        <v>23.2</v>
      </c>
      <c r="U8" s="20">
        <f>Banco_OrçamentoEspelho[[#This Row],[PRICE UNIT. (USD)]]*Banco_OrçamentoEspelho[[#This Row],[QUANTITY]]</f>
        <v>3364</v>
      </c>
      <c r="V8" s="21">
        <v>84212100</v>
      </c>
      <c r="W8" s="14" t="s">
        <v>123</v>
      </c>
      <c r="X8" s="13"/>
    </row>
    <row r="9" spans="1:24" s="22" customFormat="1">
      <c r="A9" s="14">
        <f>ROW()-ROW(Banco_OrçamentoEspelho[[#Headers],[ITEM]])</f>
        <v>8</v>
      </c>
      <c r="B9" s="15" t="s">
        <v>31</v>
      </c>
      <c r="C9" s="16" t="s">
        <v>80</v>
      </c>
      <c r="D9" s="16" t="s">
        <v>74</v>
      </c>
      <c r="E9" s="16" t="s">
        <v>60</v>
      </c>
      <c r="F9" s="14" t="s">
        <v>75</v>
      </c>
      <c r="G9" s="14" t="s">
        <v>62</v>
      </c>
      <c r="H9" s="14" t="s">
        <v>60</v>
      </c>
      <c r="I9" s="14" t="s">
        <v>60</v>
      </c>
      <c r="J9" s="14" t="s">
        <v>60</v>
      </c>
      <c r="K9" s="14" t="s">
        <v>60</v>
      </c>
      <c r="L9" s="14" t="s">
        <v>67</v>
      </c>
      <c r="M9" s="14" t="s">
        <v>64</v>
      </c>
      <c r="N9" s="14" t="s">
        <v>60</v>
      </c>
      <c r="O9" s="14" t="s">
        <v>60</v>
      </c>
      <c r="P9" s="14" t="s">
        <v>65</v>
      </c>
      <c r="Q9" s="17">
        <v>100</v>
      </c>
      <c r="R9" s="18"/>
      <c r="S9" s="19">
        <f>Banco_OrçamentoEspelho[[#This Row],[NET WEIGHT (Kg)]]*Banco_OrçamentoEspelho[[#This Row],[QUANTITY]]</f>
        <v>0</v>
      </c>
      <c r="T9" s="10">
        <v>28.7</v>
      </c>
      <c r="U9" s="20">
        <f>Banco_OrçamentoEspelho[[#This Row],[PRICE UNIT. (USD)]]*Banco_OrçamentoEspelho[[#This Row],[QUANTITY]]</f>
        <v>2870</v>
      </c>
      <c r="V9" s="21">
        <v>84212100</v>
      </c>
      <c r="W9" s="14" t="s">
        <v>123</v>
      </c>
      <c r="X9" s="13"/>
    </row>
    <row r="10" spans="1:24" s="22" customFormat="1">
      <c r="A10" s="14">
        <f>ROW()-ROW(Banco_OrçamentoEspelho[[#Headers],[ITEM]])</f>
        <v>9</v>
      </c>
      <c r="B10" s="15" t="s">
        <v>32</v>
      </c>
      <c r="C10" s="16" t="s">
        <v>81</v>
      </c>
      <c r="D10" s="16" t="s">
        <v>74</v>
      </c>
      <c r="E10" s="16" t="s">
        <v>60</v>
      </c>
      <c r="F10" s="14" t="s">
        <v>75</v>
      </c>
      <c r="G10" s="14" t="s">
        <v>62</v>
      </c>
      <c r="H10" s="14" t="s">
        <v>60</v>
      </c>
      <c r="I10" s="14" t="s">
        <v>60</v>
      </c>
      <c r="J10" s="14" t="s">
        <v>60</v>
      </c>
      <c r="K10" s="14" t="s">
        <v>60</v>
      </c>
      <c r="L10" s="14" t="s">
        <v>69</v>
      </c>
      <c r="M10" s="14" t="s">
        <v>64</v>
      </c>
      <c r="N10" s="14" t="s">
        <v>60</v>
      </c>
      <c r="O10" s="14" t="s">
        <v>60</v>
      </c>
      <c r="P10" s="14" t="s">
        <v>65</v>
      </c>
      <c r="Q10" s="17">
        <v>29</v>
      </c>
      <c r="R10" s="18"/>
      <c r="S10" s="19">
        <f>Banco_OrçamentoEspelho[[#This Row],[NET WEIGHT (Kg)]]*Banco_OrçamentoEspelho[[#This Row],[QUANTITY]]</f>
        <v>0</v>
      </c>
      <c r="T10" s="10">
        <v>40.5</v>
      </c>
      <c r="U10" s="20">
        <f>Banco_OrçamentoEspelho[[#This Row],[PRICE UNIT. (USD)]]*Banco_OrçamentoEspelho[[#This Row],[QUANTITY]]</f>
        <v>1174.5</v>
      </c>
      <c r="V10" s="21">
        <v>84212100</v>
      </c>
      <c r="W10" s="14" t="s">
        <v>123</v>
      </c>
      <c r="X10" s="13"/>
    </row>
    <row r="11" spans="1:24" s="22" customFormat="1">
      <c r="A11" s="14">
        <f>ROW()-ROW(Banco_OrçamentoEspelho[[#Headers],[ITEM]])</f>
        <v>10</v>
      </c>
      <c r="B11" s="15" t="s">
        <v>33</v>
      </c>
      <c r="C11" s="16" t="s">
        <v>82</v>
      </c>
      <c r="D11" s="16" t="s">
        <v>74</v>
      </c>
      <c r="E11" s="16" t="s">
        <v>60</v>
      </c>
      <c r="F11" s="14" t="s">
        <v>75</v>
      </c>
      <c r="G11" s="14" t="s">
        <v>62</v>
      </c>
      <c r="H11" s="14" t="s">
        <v>60</v>
      </c>
      <c r="I11" s="14" t="s">
        <v>60</v>
      </c>
      <c r="J11" s="14" t="s">
        <v>60</v>
      </c>
      <c r="K11" s="14" t="s">
        <v>60</v>
      </c>
      <c r="L11" s="14" t="s">
        <v>83</v>
      </c>
      <c r="M11" s="14" t="s">
        <v>64</v>
      </c>
      <c r="N11" s="14" t="s">
        <v>60</v>
      </c>
      <c r="O11" s="14" t="s">
        <v>60</v>
      </c>
      <c r="P11" s="14" t="s">
        <v>65</v>
      </c>
      <c r="Q11" s="17">
        <v>50</v>
      </c>
      <c r="R11" s="18"/>
      <c r="S11" s="19">
        <f>Banco_OrçamentoEspelho[[#This Row],[NET WEIGHT (Kg)]]*Banco_OrçamentoEspelho[[#This Row],[QUANTITY]]</f>
        <v>0</v>
      </c>
      <c r="T11" s="10">
        <v>68.7</v>
      </c>
      <c r="U11" s="20">
        <f>Banco_OrçamentoEspelho[[#This Row],[PRICE UNIT. (USD)]]*Banco_OrçamentoEspelho[[#This Row],[QUANTITY]]</f>
        <v>3435</v>
      </c>
      <c r="V11" s="21">
        <v>84212100</v>
      </c>
      <c r="W11" s="14" t="s">
        <v>123</v>
      </c>
      <c r="X11" s="13"/>
    </row>
    <row r="12" spans="1:24" s="22" customFormat="1">
      <c r="A12" s="14">
        <f>ROW()-ROW(Banco_OrçamentoEspelho[[#Headers],[ITEM]])</f>
        <v>11</v>
      </c>
      <c r="B12" s="15" t="s">
        <v>34</v>
      </c>
      <c r="C12" s="16" t="s">
        <v>84</v>
      </c>
      <c r="D12" s="16" t="s">
        <v>74</v>
      </c>
      <c r="E12" s="16" t="s">
        <v>60</v>
      </c>
      <c r="F12" s="14" t="s">
        <v>75</v>
      </c>
      <c r="G12" s="14" t="s">
        <v>62</v>
      </c>
      <c r="H12" s="14" t="s">
        <v>60</v>
      </c>
      <c r="I12" s="14" t="s">
        <v>60</v>
      </c>
      <c r="J12" s="14" t="s">
        <v>60</v>
      </c>
      <c r="K12" s="14" t="s">
        <v>60</v>
      </c>
      <c r="L12" s="14" t="s">
        <v>85</v>
      </c>
      <c r="M12" s="14" t="s">
        <v>64</v>
      </c>
      <c r="N12" s="14" t="s">
        <v>60</v>
      </c>
      <c r="O12" s="14" t="s">
        <v>60</v>
      </c>
      <c r="P12" s="14" t="s">
        <v>65</v>
      </c>
      <c r="Q12" s="17">
        <v>10</v>
      </c>
      <c r="R12" s="18"/>
      <c r="S12" s="19">
        <f>Banco_OrçamentoEspelho[[#This Row],[NET WEIGHT (Kg)]]*Banco_OrçamentoEspelho[[#This Row],[QUANTITY]]</f>
        <v>0</v>
      </c>
      <c r="T12" s="10">
        <v>91.1</v>
      </c>
      <c r="U12" s="20">
        <f>Banco_OrçamentoEspelho[[#This Row],[PRICE UNIT. (USD)]]*Banco_OrçamentoEspelho[[#This Row],[QUANTITY]]</f>
        <v>911</v>
      </c>
      <c r="V12" s="21">
        <v>84212100</v>
      </c>
      <c r="W12" s="14" t="s">
        <v>123</v>
      </c>
      <c r="X12" s="13"/>
    </row>
    <row r="13" spans="1:24" s="22" customFormat="1">
      <c r="A13" s="14">
        <f>ROW()-ROW(Banco_OrçamentoEspelho[[#Headers],[ITEM]])</f>
        <v>12</v>
      </c>
      <c r="B13" s="15" t="s">
        <v>35</v>
      </c>
      <c r="C13" s="16" t="s">
        <v>86</v>
      </c>
      <c r="D13" s="16" t="s">
        <v>74</v>
      </c>
      <c r="E13" s="16" t="s">
        <v>60</v>
      </c>
      <c r="F13" s="14" t="s">
        <v>75</v>
      </c>
      <c r="G13" s="14" t="s">
        <v>62</v>
      </c>
      <c r="H13" s="14" t="s">
        <v>60</v>
      </c>
      <c r="I13" s="14" t="s">
        <v>60</v>
      </c>
      <c r="J13" s="14" t="s">
        <v>60</v>
      </c>
      <c r="K13" s="14" t="s">
        <v>60</v>
      </c>
      <c r="L13" s="14" t="s">
        <v>72</v>
      </c>
      <c r="M13" s="14" t="s">
        <v>64</v>
      </c>
      <c r="N13" s="14" t="s">
        <v>60</v>
      </c>
      <c r="O13" s="14" t="s">
        <v>60</v>
      </c>
      <c r="P13" s="14" t="s">
        <v>65</v>
      </c>
      <c r="Q13" s="17">
        <v>50</v>
      </c>
      <c r="R13" s="18"/>
      <c r="S13" s="19">
        <f>Banco_OrçamentoEspelho[[#This Row],[NET WEIGHT (Kg)]]*Banco_OrçamentoEspelho[[#This Row],[QUANTITY]]</f>
        <v>0</v>
      </c>
      <c r="T13" s="10">
        <v>116</v>
      </c>
      <c r="U13" s="20">
        <f>Banco_OrçamentoEspelho[[#This Row],[PRICE UNIT. (USD)]]*Banco_OrçamentoEspelho[[#This Row],[QUANTITY]]</f>
        <v>5800</v>
      </c>
      <c r="V13" s="21">
        <v>84212100</v>
      </c>
      <c r="W13" s="14" t="s">
        <v>123</v>
      </c>
      <c r="X13" s="13"/>
    </row>
    <row r="14" spans="1:24" s="22" customFormat="1">
      <c r="A14" s="14">
        <f>ROW()-ROW(Banco_OrçamentoEspelho[[#Headers],[ITEM]])</f>
        <v>13</v>
      </c>
      <c r="B14" s="15" t="s">
        <v>36</v>
      </c>
      <c r="C14" s="16" t="s">
        <v>87</v>
      </c>
      <c r="D14" s="16" t="s">
        <v>74</v>
      </c>
      <c r="E14" s="16" t="s">
        <v>60</v>
      </c>
      <c r="F14" s="14" t="s">
        <v>75</v>
      </c>
      <c r="G14" s="14" t="s">
        <v>62</v>
      </c>
      <c r="H14" s="14" t="s">
        <v>60</v>
      </c>
      <c r="I14" s="14" t="s">
        <v>60</v>
      </c>
      <c r="J14" s="14" t="s">
        <v>60</v>
      </c>
      <c r="K14" s="14" t="s">
        <v>60</v>
      </c>
      <c r="L14" s="14" t="s">
        <v>88</v>
      </c>
      <c r="M14" s="14" t="s">
        <v>64</v>
      </c>
      <c r="N14" s="14" t="s">
        <v>60</v>
      </c>
      <c r="O14" s="14" t="s">
        <v>60</v>
      </c>
      <c r="P14" s="14" t="s">
        <v>65</v>
      </c>
      <c r="Q14" s="17">
        <v>10</v>
      </c>
      <c r="R14" s="18"/>
      <c r="S14" s="19">
        <f>Banco_OrçamentoEspelho[[#This Row],[NET WEIGHT (Kg)]]*Banco_OrçamentoEspelho[[#This Row],[QUANTITY]]</f>
        <v>0</v>
      </c>
      <c r="T14" s="10">
        <v>198.4</v>
      </c>
      <c r="U14" s="20">
        <f>Banco_OrçamentoEspelho[[#This Row],[PRICE UNIT. (USD)]]*Banco_OrçamentoEspelho[[#This Row],[QUANTITY]]</f>
        <v>1984</v>
      </c>
      <c r="V14" s="21">
        <v>84212100</v>
      </c>
      <c r="W14" s="14" t="s">
        <v>123</v>
      </c>
      <c r="X14" s="13"/>
    </row>
    <row r="15" spans="1:24" s="22" customFormat="1">
      <c r="A15" s="14">
        <f>ROW()-ROW(Banco_OrçamentoEspelho[[#Headers],[ITEM]])</f>
        <v>14</v>
      </c>
      <c r="B15" s="15" t="s">
        <v>37</v>
      </c>
      <c r="C15" s="16" t="s">
        <v>89</v>
      </c>
      <c r="D15" s="16" t="s">
        <v>90</v>
      </c>
      <c r="E15" s="16" t="s">
        <v>91</v>
      </c>
      <c r="F15" s="14" t="s">
        <v>92</v>
      </c>
      <c r="G15" s="14" t="s">
        <v>93</v>
      </c>
      <c r="H15" s="14" t="s">
        <v>60</v>
      </c>
      <c r="I15" s="14" t="s">
        <v>60</v>
      </c>
      <c r="J15" s="14" t="s">
        <v>60</v>
      </c>
      <c r="K15" s="14" t="s">
        <v>60</v>
      </c>
      <c r="L15" s="14" t="s">
        <v>94</v>
      </c>
      <c r="M15" s="14" t="s">
        <v>95</v>
      </c>
      <c r="N15" s="14" t="s">
        <v>96</v>
      </c>
      <c r="O15" s="14" t="s">
        <v>60</v>
      </c>
      <c r="P15" s="14" t="s">
        <v>65</v>
      </c>
      <c r="Q15" s="17">
        <v>150</v>
      </c>
      <c r="R15" s="18"/>
      <c r="S15" s="19">
        <f>Banco_OrçamentoEspelho[[#This Row],[NET WEIGHT (Kg)]]*Banco_OrçamentoEspelho[[#This Row],[QUANTITY]]</f>
        <v>0</v>
      </c>
      <c r="T15" s="10">
        <v>12.7</v>
      </c>
      <c r="U15" s="20">
        <f>Banco_OrçamentoEspelho[[#This Row],[PRICE UNIT. (USD)]]*Banco_OrçamentoEspelho[[#This Row],[QUANTITY]]</f>
        <v>1905</v>
      </c>
      <c r="V15" s="21">
        <v>84818094</v>
      </c>
      <c r="W15" s="14" t="s">
        <v>124</v>
      </c>
      <c r="X15" s="13"/>
    </row>
    <row r="16" spans="1:24" s="22" customFormat="1">
      <c r="A16" s="14">
        <f>ROW()-ROW(Banco_OrçamentoEspelho[[#Headers],[ITEM]])</f>
        <v>15</v>
      </c>
      <c r="B16" s="15" t="s">
        <v>38</v>
      </c>
      <c r="C16" s="16" t="s">
        <v>97</v>
      </c>
      <c r="D16" s="16" t="s">
        <v>90</v>
      </c>
      <c r="E16" s="16" t="s">
        <v>91</v>
      </c>
      <c r="F16" s="14" t="s">
        <v>92</v>
      </c>
      <c r="G16" s="14" t="s">
        <v>93</v>
      </c>
      <c r="H16" s="14" t="s">
        <v>60</v>
      </c>
      <c r="I16" s="14" t="s">
        <v>60</v>
      </c>
      <c r="J16" s="14" t="s">
        <v>60</v>
      </c>
      <c r="K16" s="14" t="s">
        <v>60</v>
      </c>
      <c r="L16" s="14" t="s">
        <v>76</v>
      </c>
      <c r="M16" s="14" t="s">
        <v>95</v>
      </c>
      <c r="N16" s="14" t="s">
        <v>96</v>
      </c>
      <c r="O16" s="14" t="s">
        <v>60</v>
      </c>
      <c r="P16" s="14" t="s">
        <v>65</v>
      </c>
      <c r="Q16" s="17">
        <v>100</v>
      </c>
      <c r="R16" s="18"/>
      <c r="S16" s="19">
        <f>Banco_OrçamentoEspelho[[#This Row],[NET WEIGHT (Kg)]]*Banco_OrçamentoEspelho[[#This Row],[QUANTITY]]</f>
        <v>0</v>
      </c>
      <c r="T16" s="10">
        <v>14.2</v>
      </c>
      <c r="U16" s="20">
        <f>Banco_OrçamentoEspelho[[#This Row],[PRICE UNIT. (USD)]]*Banco_OrçamentoEspelho[[#This Row],[QUANTITY]]</f>
        <v>1420</v>
      </c>
      <c r="V16" s="21">
        <v>84818094</v>
      </c>
      <c r="W16" s="14" t="s">
        <v>124</v>
      </c>
      <c r="X16" s="13"/>
    </row>
    <row r="17" spans="1:24" s="22" customFormat="1">
      <c r="A17" s="14">
        <f>ROW()-ROW(Banco_OrçamentoEspelho[[#Headers],[ITEM]])</f>
        <v>16</v>
      </c>
      <c r="B17" s="15" t="s">
        <v>39</v>
      </c>
      <c r="C17" s="16" t="s">
        <v>98</v>
      </c>
      <c r="D17" s="16" t="s">
        <v>90</v>
      </c>
      <c r="E17" s="16" t="s">
        <v>91</v>
      </c>
      <c r="F17" s="14" t="s">
        <v>92</v>
      </c>
      <c r="G17" s="14" t="s">
        <v>93</v>
      </c>
      <c r="H17" s="14" t="s">
        <v>60</v>
      </c>
      <c r="I17" s="14" t="s">
        <v>60</v>
      </c>
      <c r="J17" s="14" t="s">
        <v>60</v>
      </c>
      <c r="K17" s="14" t="s">
        <v>60</v>
      </c>
      <c r="L17" s="14" t="s">
        <v>94</v>
      </c>
      <c r="M17" s="14" t="s">
        <v>99</v>
      </c>
      <c r="N17" s="14" t="s">
        <v>96</v>
      </c>
      <c r="O17" s="14" t="s">
        <v>60</v>
      </c>
      <c r="P17" s="14" t="s">
        <v>65</v>
      </c>
      <c r="Q17" s="17">
        <v>100</v>
      </c>
      <c r="R17" s="18"/>
      <c r="S17" s="19">
        <f>Banco_OrçamentoEspelho[[#This Row],[NET WEIGHT (Kg)]]*Banco_OrçamentoEspelho[[#This Row],[QUANTITY]]</f>
        <v>0</v>
      </c>
      <c r="T17" s="10">
        <v>12.7</v>
      </c>
      <c r="U17" s="20">
        <f>Banco_OrçamentoEspelho[[#This Row],[PRICE UNIT. (USD)]]*Banco_OrçamentoEspelho[[#This Row],[QUANTITY]]</f>
        <v>1270</v>
      </c>
      <c r="V17" s="21">
        <v>84818094</v>
      </c>
      <c r="W17" s="14" t="s">
        <v>124</v>
      </c>
      <c r="X17" s="13"/>
    </row>
    <row r="18" spans="1:24" s="22" customFormat="1">
      <c r="A18" s="14">
        <f>ROW()-ROW(Banco_OrçamentoEspelho[[#Headers],[ITEM]])</f>
        <v>17</v>
      </c>
      <c r="B18" s="15" t="s">
        <v>40</v>
      </c>
      <c r="C18" s="16" t="s">
        <v>100</v>
      </c>
      <c r="D18" s="16" t="s">
        <v>90</v>
      </c>
      <c r="E18" s="16" t="s">
        <v>91</v>
      </c>
      <c r="F18" s="14" t="s">
        <v>92</v>
      </c>
      <c r="G18" s="14" t="s">
        <v>93</v>
      </c>
      <c r="H18" s="14" t="s">
        <v>60</v>
      </c>
      <c r="I18" s="14" t="s">
        <v>60</v>
      </c>
      <c r="J18" s="14" t="s">
        <v>60</v>
      </c>
      <c r="K18" s="14" t="s">
        <v>60</v>
      </c>
      <c r="L18" s="14" t="s">
        <v>76</v>
      </c>
      <c r="M18" s="14" t="s">
        <v>99</v>
      </c>
      <c r="N18" s="14" t="s">
        <v>96</v>
      </c>
      <c r="O18" s="14" t="s">
        <v>60</v>
      </c>
      <c r="P18" s="14" t="s">
        <v>65</v>
      </c>
      <c r="Q18" s="17">
        <v>50</v>
      </c>
      <c r="R18" s="18"/>
      <c r="S18" s="19">
        <f>Banco_OrçamentoEspelho[[#This Row],[NET WEIGHT (Kg)]]*Banco_OrçamentoEspelho[[#This Row],[QUANTITY]]</f>
        <v>0</v>
      </c>
      <c r="T18" s="10">
        <v>14.2</v>
      </c>
      <c r="U18" s="20">
        <f>Banco_OrçamentoEspelho[[#This Row],[PRICE UNIT. (USD)]]*Banco_OrçamentoEspelho[[#This Row],[QUANTITY]]</f>
        <v>710</v>
      </c>
      <c r="V18" s="21">
        <v>84818094</v>
      </c>
      <c r="W18" s="14" t="s">
        <v>124</v>
      </c>
      <c r="X18" s="13"/>
    </row>
    <row r="19" spans="1:24" s="22" customFormat="1">
      <c r="A19" s="14">
        <f>ROW()-ROW(Banco_OrçamentoEspelho[[#Headers],[ITEM]])</f>
        <v>18</v>
      </c>
      <c r="B19" s="15" t="s">
        <v>41</v>
      </c>
      <c r="C19" s="16" t="s">
        <v>101</v>
      </c>
      <c r="D19" s="16" t="s">
        <v>90</v>
      </c>
      <c r="E19" s="16" t="s">
        <v>91</v>
      </c>
      <c r="F19" s="14" t="s">
        <v>92</v>
      </c>
      <c r="G19" s="14" t="s">
        <v>93</v>
      </c>
      <c r="H19" s="14" t="s">
        <v>60</v>
      </c>
      <c r="I19" s="14" t="s">
        <v>60</v>
      </c>
      <c r="J19" s="14" t="s">
        <v>60</v>
      </c>
      <c r="K19" s="14" t="s">
        <v>60</v>
      </c>
      <c r="L19" s="14" t="s">
        <v>63</v>
      </c>
      <c r="M19" s="14" t="s">
        <v>99</v>
      </c>
      <c r="N19" s="14" t="s">
        <v>96</v>
      </c>
      <c r="O19" s="14" t="s">
        <v>60</v>
      </c>
      <c r="P19" s="14" t="s">
        <v>65</v>
      </c>
      <c r="Q19" s="17">
        <v>10</v>
      </c>
      <c r="R19" s="18"/>
      <c r="S19" s="19">
        <f>Banco_OrçamentoEspelho[[#This Row],[NET WEIGHT (Kg)]]*Banco_OrçamentoEspelho[[#This Row],[QUANTITY]]</f>
        <v>0</v>
      </c>
      <c r="T19" s="10">
        <v>37.200000000000003</v>
      </c>
      <c r="U19" s="20">
        <f>Banco_OrçamentoEspelho[[#This Row],[PRICE UNIT. (USD)]]*Banco_OrçamentoEspelho[[#This Row],[QUANTITY]]</f>
        <v>372</v>
      </c>
      <c r="V19" s="21">
        <v>84818094</v>
      </c>
      <c r="W19" s="14" t="s">
        <v>124</v>
      </c>
      <c r="X19" s="13"/>
    </row>
    <row r="20" spans="1:24" s="22" customFormat="1">
      <c r="A20" s="14">
        <f>ROW()-ROW(Banco_OrçamentoEspelho[[#Headers],[ITEM]])</f>
        <v>19</v>
      </c>
      <c r="B20" s="15" t="s">
        <v>42</v>
      </c>
      <c r="C20" s="16" t="s">
        <v>102</v>
      </c>
      <c r="D20" s="16" t="s">
        <v>103</v>
      </c>
      <c r="E20" s="16" t="s">
        <v>91</v>
      </c>
      <c r="F20" s="14" t="s">
        <v>92</v>
      </c>
      <c r="G20" s="14" t="s">
        <v>93</v>
      </c>
      <c r="H20" s="14" t="s">
        <v>60</v>
      </c>
      <c r="I20" s="14" t="s">
        <v>60</v>
      </c>
      <c r="J20" s="14" t="s">
        <v>60</v>
      </c>
      <c r="K20" s="14" t="s">
        <v>60</v>
      </c>
      <c r="L20" s="14" t="s">
        <v>94</v>
      </c>
      <c r="M20" s="14" t="s">
        <v>95</v>
      </c>
      <c r="N20" s="14" t="s">
        <v>96</v>
      </c>
      <c r="O20" s="14" t="s">
        <v>60</v>
      </c>
      <c r="P20" s="14" t="s">
        <v>65</v>
      </c>
      <c r="Q20" s="17">
        <v>50</v>
      </c>
      <c r="R20" s="18"/>
      <c r="S20" s="19">
        <f>Banco_OrçamentoEspelho[[#This Row],[NET WEIGHT (Kg)]]*Banco_OrçamentoEspelho[[#This Row],[QUANTITY]]</f>
        <v>0</v>
      </c>
      <c r="T20" s="10">
        <v>12.7</v>
      </c>
      <c r="U20" s="20">
        <f>Banco_OrçamentoEspelho[[#This Row],[PRICE UNIT. (USD)]]*Banco_OrçamentoEspelho[[#This Row],[QUANTITY]]</f>
        <v>635</v>
      </c>
      <c r="V20" s="21">
        <v>84818093</v>
      </c>
      <c r="W20" s="14" t="s">
        <v>124</v>
      </c>
      <c r="X20" s="13"/>
    </row>
    <row r="21" spans="1:24" s="22" customFormat="1">
      <c r="A21" s="14">
        <f>ROW()-ROW(Banco_OrçamentoEspelho[[#Headers],[ITEM]])</f>
        <v>20</v>
      </c>
      <c r="B21" s="15" t="s">
        <v>43</v>
      </c>
      <c r="C21" s="16" t="s">
        <v>104</v>
      </c>
      <c r="D21" s="16" t="s">
        <v>103</v>
      </c>
      <c r="E21" s="16" t="s">
        <v>91</v>
      </c>
      <c r="F21" s="14" t="s">
        <v>92</v>
      </c>
      <c r="G21" s="14" t="s">
        <v>93</v>
      </c>
      <c r="H21" s="14" t="s">
        <v>60</v>
      </c>
      <c r="I21" s="14" t="s">
        <v>60</v>
      </c>
      <c r="J21" s="14" t="s">
        <v>60</v>
      </c>
      <c r="K21" s="14" t="s">
        <v>60</v>
      </c>
      <c r="L21" s="14" t="s">
        <v>76</v>
      </c>
      <c r="M21" s="14" t="s">
        <v>95</v>
      </c>
      <c r="N21" s="14" t="s">
        <v>96</v>
      </c>
      <c r="O21" s="14" t="s">
        <v>60</v>
      </c>
      <c r="P21" s="14" t="s">
        <v>65</v>
      </c>
      <c r="Q21" s="17">
        <v>50</v>
      </c>
      <c r="R21" s="18"/>
      <c r="S21" s="19">
        <f>Banco_OrçamentoEspelho[[#This Row],[NET WEIGHT (Kg)]]*Banco_OrçamentoEspelho[[#This Row],[QUANTITY]]</f>
        <v>0</v>
      </c>
      <c r="T21" s="10">
        <v>14.2</v>
      </c>
      <c r="U21" s="20">
        <f>Banco_OrçamentoEspelho[[#This Row],[PRICE UNIT. (USD)]]*Banco_OrçamentoEspelho[[#This Row],[QUANTITY]]</f>
        <v>710</v>
      </c>
      <c r="V21" s="21">
        <v>84818093</v>
      </c>
      <c r="W21" s="14" t="s">
        <v>124</v>
      </c>
      <c r="X21" s="13"/>
    </row>
    <row r="22" spans="1:24" s="22" customFormat="1">
      <c r="A22" s="14">
        <f>ROW()-ROW(Banco_OrçamentoEspelho[[#Headers],[ITEM]])</f>
        <v>21</v>
      </c>
      <c r="B22" s="15" t="s">
        <v>44</v>
      </c>
      <c r="C22" s="16" t="s">
        <v>105</v>
      </c>
      <c r="D22" s="16" t="s">
        <v>103</v>
      </c>
      <c r="E22" s="16" t="s">
        <v>91</v>
      </c>
      <c r="F22" s="14" t="s">
        <v>92</v>
      </c>
      <c r="G22" s="14" t="s">
        <v>93</v>
      </c>
      <c r="H22" s="14" t="s">
        <v>60</v>
      </c>
      <c r="I22" s="14" t="s">
        <v>60</v>
      </c>
      <c r="J22" s="14" t="s">
        <v>60</v>
      </c>
      <c r="K22" s="14" t="s">
        <v>60</v>
      </c>
      <c r="L22" s="14" t="s">
        <v>94</v>
      </c>
      <c r="M22" s="14" t="s">
        <v>99</v>
      </c>
      <c r="N22" s="14" t="s">
        <v>96</v>
      </c>
      <c r="O22" s="14" t="s">
        <v>60</v>
      </c>
      <c r="P22" s="14" t="s">
        <v>65</v>
      </c>
      <c r="Q22" s="17">
        <v>100</v>
      </c>
      <c r="R22" s="18"/>
      <c r="S22" s="19">
        <f>Banco_OrçamentoEspelho[[#This Row],[NET WEIGHT (Kg)]]*Banco_OrçamentoEspelho[[#This Row],[QUANTITY]]</f>
        <v>0</v>
      </c>
      <c r="T22" s="10">
        <v>12.7</v>
      </c>
      <c r="U22" s="20">
        <f>Banco_OrçamentoEspelho[[#This Row],[PRICE UNIT. (USD)]]*Banco_OrçamentoEspelho[[#This Row],[QUANTITY]]</f>
        <v>1270</v>
      </c>
      <c r="V22" s="21">
        <v>84818093</v>
      </c>
      <c r="W22" s="14" t="s">
        <v>124</v>
      </c>
      <c r="X22" s="13"/>
    </row>
    <row r="23" spans="1:24" s="22" customFormat="1">
      <c r="A23" s="14">
        <f>ROW()-ROW(Banco_OrçamentoEspelho[[#Headers],[ITEM]])</f>
        <v>22</v>
      </c>
      <c r="B23" s="15" t="s">
        <v>45</v>
      </c>
      <c r="C23" s="16" t="s">
        <v>106</v>
      </c>
      <c r="D23" s="16" t="s">
        <v>103</v>
      </c>
      <c r="E23" s="16" t="s">
        <v>91</v>
      </c>
      <c r="F23" s="14" t="s">
        <v>92</v>
      </c>
      <c r="G23" s="14" t="s">
        <v>93</v>
      </c>
      <c r="H23" s="14" t="s">
        <v>60</v>
      </c>
      <c r="I23" s="14" t="s">
        <v>60</v>
      </c>
      <c r="J23" s="14" t="s">
        <v>60</v>
      </c>
      <c r="K23" s="14" t="s">
        <v>60</v>
      </c>
      <c r="L23" s="14" t="s">
        <v>76</v>
      </c>
      <c r="M23" s="14" t="s">
        <v>99</v>
      </c>
      <c r="N23" s="14" t="s">
        <v>96</v>
      </c>
      <c r="O23" s="14" t="s">
        <v>60</v>
      </c>
      <c r="P23" s="14" t="s">
        <v>65</v>
      </c>
      <c r="Q23" s="17">
        <v>48</v>
      </c>
      <c r="R23" s="18"/>
      <c r="S23" s="19">
        <f>Banco_OrçamentoEspelho[[#This Row],[NET WEIGHT (Kg)]]*Banco_OrçamentoEspelho[[#This Row],[QUANTITY]]</f>
        <v>0</v>
      </c>
      <c r="T23" s="10">
        <v>14.2</v>
      </c>
      <c r="U23" s="20">
        <f>Banco_OrçamentoEspelho[[#This Row],[PRICE UNIT. (USD)]]*Banco_OrçamentoEspelho[[#This Row],[QUANTITY]]</f>
        <v>681.59999999999991</v>
      </c>
      <c r="V23" s="21">
        <v>84818093</v>
      </c>
      <c r="W23" s="14" t="s">
        <v>124</v>
      </c>
      <c r="X23" s="13"/>
    </row>
    <row r="24" spans="1:24" s="22" customFormat="1">
      <c r="A24" s="14">
        <f>ROW()-ROW(Banco_OrçamentoEspelho[[#Headers],[ITEM]])</f>
        <v>23</v>
      </c>
      <c r="B24" s="15" t="s">
        <v>46</v>
      </c>
      <c r="C24" s="16" t="s">
        <v>107</v>
      </c>
      <c r="D24" s="16" t="s">
        <v>103</v>
      </c>
      <c r="E24" s="16" t="s">
        <v>91</v>
      </c>
      <c r="F24" s="14" t="s">
        <v>92</v>
      </c>
      <c r="G24" s="14" t="s">
        <v>93</v>
      </c>
      <c r="H24" s="14" t="s">
        <v>60</v>
      </c>
      <c r="I24" s="14" t="s">
        <v>60</v>
      </c>
      <c r="J24" s="14" t="s">
        <v>60</v>
      </c>
      <c r="K24" s="14" t="s">
        <v>60</v>
      </c>
      <c r="L24" s="14" t="s">
        <v>63</v>
      </c>
      <c r="M24" s="14" t="s">
        <v>99</v>
      </c>
      <c r="N24" s="14" t="s">
        <v>96</v>
      </c>
      <c r="O24" s="14" t="s">
        <v>60</v>
      </c>
      <c r="P24" s="14" t="s">
        <v>65</v>
      </c>
      <c r="Q24" s="17">
        <v>96</v>
      </c>
      <c r="R24" s="18"/>
      <c r="S24" s="19">
        <f>Banco_OrçamentoEspelho[[#This Row],[NET WEIGHT (Kg)]]*Banco_OrçamentoEspelho[[#This Row],[QUANTITY]]</f>
        <v>0</v>
      </c>
      <c r="T24" s="10">
        <v>37.200000000000003</v>
      </c>
      <c r="U24" s="20">
        <f>Banco_OrçamentoEspelho[[#This Row],[PRICE UNIT. (USD)]]*Banco_OrçamentoEspelho[[#This Row],[QUANTITY]]</f>
        <v>3571.2000000000003</v>
      </c>
      <c r="V24" s="21">
        <v>84818093</v>
      </c>
      <c r="W24" s="14" t="s">
        <v>124</v>
      </c>
      <c r="X24" s="13"/>
    </row>
    <row r="25" spans="1:24" s="22" customFormat="1">
      <c r="A25" s="14">
        <f>ROW()-ROW(Banco_OrçamentoEspelho[[#Headers],[ITEM]])</f>
        <v>24</v>
      </c>
      <c r="B25" s="15" t="s">
        <v>47</v>
      </c>
      <c r="C25" s="16" t="s">
        <v>108</v>
      </c>
      <c r="D25" s="16" t="s">
        <v>109</v>
      </c>
      <c r="E25" s="16" t="s">
        <v>91</v>
      </c>
      <c r="F25" s="14" t="s">
        <v>92</v>
      </c>
      <c r="G25" s="14" t="s">
        <v>93</v>
      </c>
      <c r="H25" s="14" t="s">
        <v>60</v>
      </c>
      <c r="I25" s="14" t="s">
        <v>60</v>
      </c>
      <c r="J25" s="14" t="s">
        <v>60</v>
      </c>
      <c r="K25" s="14" t="s">
        <v>60</v>
      </c>
      <c r="L25" s="14" t="s">
        <v>78</v>
      </c>
      <c r="M25" s="14" t="s">
        <v>95</v>
      </c>
      <c r="N25" s="14" t="s">
        <v>96</v>
      </c>
      <c r="O25" s="14" t="s">
        <v>60</v>
      </c>
      <c r="P25" s="14" t="s">
        <v>65</v>
      </c>
      <c r="Q25" s="17">
        <v>50</v>
      </c>
      <c r="R25" s="18"/>
      <c r="S25" s="19">
        <f>Banco_OrçamentoEspelho[[#This Row],[NET WEIGHT (Kg)]]*Banco_OrçamentoEspelho[[#This Row],[QUANTITY]]</f>
        <v>0</v>
      </c>
      <c r="T25" s="10">
        <v>19.399999999999999</v>
      </c>
      <c r="U25" s="20">
        <f>Banco_OrçamentoEspelho[[#This Row],[PRICE UNIT. (USD)]]*Banco_OrçamentoEspelho[[#This Row],[QUANTITY]]</f>
        <v>969.99999999999989</v>
      </c>
      <c r="V25" s="21">
        <v>84813000</v>
      </c>
      <c r="W25" s="14" t="s">
        <v>124</v>
      </c>
      <c r="X25" s="13"/>
    </row>
    <row r="26" spans="1:24" s="22" customFormat="1">
      <c r="A26" s="14">
        <f>ROW()-ROW(Banco_OrçamentoEspelho[[#Headers],[ITEM]])</f>
        <v>25</v>
      </c>
      <c r="B26" s="15" t="s">
        <v>48</v>
      </c>
      <c r="C26" s="16" t="s">
        <v>110</v>
      </c>
      <c r="D26" s="16" t="s">
        <v>109</v>
      </c>
      <c r="E26" s="16" t="s">
        <v>91</v>
      </c>
      <c r="F26" s="14" t="s">
        <v>92</v>
      </c>
      <c r="G26" s="14" t="s">
        <v>93</v>
      </c>
      <c r="H26" s="14" t="s">
        <v>60</v>
      </c>
      <c r="I26" s="14" t="s">
        <v>60</v>
      </c>
      <c r="J26" s="14" t="s">
        <v>60</v>
      </c>
      <c r="K26" s="14" t="s">
        <v>60</v>
      </c>
      <c r="L26" s="14" t="s">
        <v>63</v>
      </c>
      <c r="M26" s="14" t="s">
        <v>95</v>
      </c>
      <c r="N26" s="14" t="s">
        <v>96</v>
      </c>
      <c r="O26" s="14" t="s">
        <v>60</v>
      </c>
      <c r="P26" s="14" t="s">
        <v>65</v>
      </c>
      <c r="Q26" s="17">
        <v>40</v>
      </c>
      <c r="R26" s="18"/>
      <c r="S26" s="19">
        <f>Banco_OrçamentoEspelho[[#This Row],[NET WEIGHT (Kg)]]*Banco_OrçamentoEspelho[[#This Row],[QUANTITY]]</f>
        <v>0</v>
      </c>
      <c r="T26" s="10">
        <v>35.4</v>
      </c>
      <c r="U26" s="20">
        <f>Banco_OrçamentoEspelho[[#This Row],[PRICE UNIT. (USD)]]*Banco_OrçamentoEspelho[[#This Row],[QUANTITY]]</f>
        <v>1416</v>
      </c>
      <c r="V26" s="21">
        <v>84813000</v>
      </c>
      <c r="W26" s="14" t="s">
        <v>124</v>
      </c>
      <c r="X26" s="13"/>
    </row>
    <row r="27" spans="1:24" s="22" customFormat="1">
      <c r="A27" s="14">
        <f>ROW()-ROW(Banco_OrçamentoEspelho[[#Headers],[ITEM]])</f>
        <v>26</v>
      </c>
      <c r="B27" s="15" t="s">
        <v>49</v>
      </c>
      <c r="C27" s="16" t="s">
        <v>111</v>
      </c>
      <c r="D27" s="16" t="s">
        <v>109</v>
      </c>
      <c r="E27" s="16" t="s">
        <v>91</v>
      </c>
      <c r="F27" s="14" t="s">
        <v>92</v>
      </c>
      <c r="G27" s="14" t="s">
        <v>93</v>
      </c>
      <c r="H27" s="14" t="s">
        <v>60</v>
      </c>
      <c r="I27" s="14" t="s">
        <v>60</v>
      </c>
      <c r="J27" s="14" t="s">
        <v>60</v>
      </c>
      <c r="K27" s="14" t="s">
        <v>60</v>
      </c>
      <c r="L27" s="14" t="s">
        <v>67</v>
      </c>
      <c r="M27" s="14" t="s">
        <v>95</v>
      </c>
      <c r="N27" s="14" t="s">
        <v>96</v>
      </c>
      <c r="O27" s="14" t="s">
        <v>60</v>
      </c>
      <c r="P27" s="14" t="s">
        <v>65</v>
      </c>
      <c r="Q27" s="17">
        <v>20</v>
      </c>
      <c r="R27" s="18"/>
      <c r="S27" s="19">
        <f>Banco_OrçamentoEspelho[[#This Row],[NET WEIGHT (Kg)]]*Banco_OrçamentoEspelho[[#This Row],[QUANTITY]]</f>
        <v>0</v>
      </c>
      <c r="T27" s="10">
        <v>51.5</v>
      </c>
      <c r="U27" s="20">
        <f>Banco_OrçamentoEspelho[[#This Row],[PRICE UNIT. (USD)]]*Banco_OrçamentoEspelho[[#This Row],[QUANTITY]]</f>
        <v>1030</v>
      </c>
      <c r="V27" s="21">
        <v>84813000</v>
      </c>
      <c r="W27" s="14" t="s">
        <v>124</v>
      </c>
      <c r="X27" s="13"/>
    </row>
    <row r="28" spans="1:24" s="22" customFormat="1">
      <c r="A28" s="14">
        <f>ROW()-ROW(Banco_OrçamentoEspelho[[#Headers],[ITEM]])</f>
        <v>27</v>
      </c>
      <c r="B28" s="15" t="s">
        <v>50</v>
      </c>
      <c r="C28" s="16" t="s">
        <v>112</v>
      </c>
      <c r="D28" s="16" t="s">
        <v>109</v>
      </c>
      <c r="E28" s="16" t="s">
        <v>91</v>
      </c>
      <c r="F28" s="14" t="s">
        <v>92</v>
      </c>
      <c r="G28" s="14" t="s">
        <v>93</v>
      </c>
      <c r="H28" s="14" t="s">
        <v>60</v>
      </c>
      <c r="I28" s="14" t="s">
        <v>60</v>
      </c>
      <c r="J28" s="14" t="s">
        <v>60</v>
      </c>
      <c r="K28" s="14" t="s">
        <v>60</v>
      </c>
      <c r="L28" s="14" t="s">
        <v>63</v>
      </c>
      <c r="M28" s="14" t="s">
        <v>99</v>
      </c>
      <c r="N28" s="14" t="s">
        <v>96</v>
      </c>
      <c r="O28" s="14" t="s">
        <v>60</v>
      </c>
      <c r="P28" s="14" t="s">
        <v>65</v>
      </c>
      <c r="Q28" s="17">
        <v>28</v>
      </c>
      <c r="R28" s="18"/>
      <c r="S28" s="19">
        <f>Banco_OrçamentoEspelho[[#This Row],[NET WEIGHT (Kg)]]*Banco_OrçamentoEspelho[[#This Row],[QUANTITY]]</f>
        <v>0</v>
      </c>
      <c r="T28" s="10">
        <v>35.4</v>
      </c>
      <c r="U28" s="20">
        <f>Banco_OrçamentoEspelho[[#This Row],[PRICE UNIT. (USD)]]*Banco_OrçamentoEspelho[[#This Row],[QUANTITY]]</f>
        <v>991.19999999999993</v>
      </c>
      <c r="V28" s="21">
        <v>84813000</v>
      </c>
      <c r="W28" s="14" t="s">
        <v>124</v>
      </c>
      <c r="X28" s="13"/>
    </row>
    <row r="29" spans="1:24" s="22" customFormat="1">
      <c r="A29" s="14">
        <f>ROW()-ROW(Banco_OrçamentoEspelho[[#Headers],[ITEM]])</f>
        <v>28</v>
      </c>
      <c r="B29" s="15" t="s">
        <v>51</v>
      </c>
      <c r="C29" s="16" t="s">
        <v>113</v>
      </c>
      <c r="D29" s="16" t="s">
        <v>126</v>
      </c>
      <c r="E29" s="16" t="s">
        <v>60</v>
      </c>
      <c r="F29" s="14" t="s">
        <v>114</v>
      </c>
      <c r="G29" s="14" t="s">
        <v>115</v>
      </c>
      <c r="H29" s="14" t="s">
        <v>60</v>
      </c>
      <c r="I29" s="14" t="s">
        <v>60</v>
      </c>
      <c r="J29" s="14" t="s">
        <v>60</v>
      </c>
      <c r="K29" s="14" t="s">
        <v>60</v>
      </c>
      <c r="L29" s="14" t="s">
        <v>94</v>
      </c>
      <c r="M29" s="14" t="s">
        <v>116</v>
      </c>
      <c r="N29" s="14" t="s">
        <v>60</v>
      </c>
      <c r="O29" s="14" t="s">
        <v>60</v>
      </c>
      <c r="P29" s="14" t="s">
        <v>65</v>
      </c>
      <c r="Q29" s="17">
        <v>30</v>
      </c>
      <c r="R29" s="18"/>
      <c r="S29" s="19">
        <f>Banco_OrçamentoEspelho[[#This Row],[NET WEIGHT (Kg)]]*Banco_OrçamentoEspelho[[#This Row],[QUANTITY]]</f>
        <v>0</v>
      </c>
      <c r="T29" s="10">
        <v>31.130700000000001</v>
      </c>
      <c r="U29" s="20">
        <f>Banco_OrçamentoEspelho[[#This Row],[PRICE UNIT. (USD)]]*Banco_OrçamentoEspelho[[#This Row],[QUANTITY]]</f>
        <v>933.92100000000005</v>
      </c>
      <c r="V29" s="21">
        <v>84818094</v>
      </c>
      <c r="W29" s="14" t="s">
        <v>125</v>
      </c>
      <c r="X29" s="13"/>
    </row>
    <row r="30" spans="1:24" s="22" customFormat="1">
      <c r="A30" s="14">
        <f>ROW()-ROW(Banco_OrçamentoEspelho[[#Headers],[ITEM]])</f>
        <v>29</v>
      </c>
      <c r="B30" s="15" t="s">
        <v>52</v>
      </c>
      <c r="C30" s="16" t="s">
        <v>117</v>
      </c>
      <c r="D30" s="16" t="s">
        <v>126</v>
      </c>
      <c r="E30" s="16" t="s">
        <v>60</v>
      </c>
      <c r="F30" s="14" t="s">
        <v>114</v>
      </c>
      <c r="G30" s="14" t="s">
        <v>115</v>
      </c>
      <c r="H30" s="14" t="s">
        <v>60</v>
      </c>
      <c r="I30" s="14" t="s">
        <v>60</v>
      </c>
      <c r="J30" s="14" t="s">
        <v>60</v>
      </c>
      <c r="K30" s="14" t="s">
        <v>60</v>
      </c>
      <c r="L30" s="14" t="s">
        <v>76</v>
      </c>
      <c r="M30" s="14" t="s">
        <v>116</v>
      </c>
      <c r="N30" s="14" t="s">
        <v>60</v>
      </c>
      <c r="O30" s="14" t="s">
        <v>60</v>
      </c>
      <c r="P30" s="14" t="s">
        <v>65</v>
      </c>
      <c r="Q30" s="17">
        <v>30</v>
      </c>
      <c r="R30" s="18"/>
      <c r="S30" s="19">
        <f>Banco_OrçamentoEspelho[[#This Row],[NET WEIGHT (Kg)]]*Banco_OrçamentoEspelho[[#This Row],[QUANTITY]]</f>
        <v>0</v>
      </c>
      <c r="T30" s="10">
        <v>32.738399999999999</v>
      </c>
      <c r="U30" s="20">
        <f>Banco_OrçamentoEspelho[[#This Row],[PRICE UNIT. (USD)]]*Banco_OrçamentoEspelho[[#This Row],[QUANTITY]]</f>
        <v>982.15199999999993</v>
      </c>
      <c r="V30" s="21">
        <v>84818094</v>
      </c>
      <c r="W30" s="14" t="s">
        <v>125</v>
      </c>
      <c r="X30" s="13"/>
    </row>
    <row r="31" spans="1:24" s="22" customFormat="1">
      <c r="A31" s="14">
        <f>ROW()-ROW(Banco_OrçamentoEspelho[[#Headers],[ITEM]])</f>
        <v>30</v>
      </c>
      <c r="B31" s="15" t="s">
        <v>53</v>
      </c>
      <c r="C31" s="16" t="s">
        <v>118</v>
      </c>
      <c r="D31" s="16" t="s">
        <v>126</v>
      </c>
      <c r="E31" s="16" t="s">
        <v>60</v>
      </c>
      <c r="F31" s="14" t="s">
        <v>114</v>
      </c>
      <c r="G31" s="14" t="s">
        <v>115</v>
      </c>
      <c r="H31" s="14" t="s">
        <v>60</v>
      </c>
      <c r="I31" s="14" t="s">
        <v>60</v>
      </c>
      <c r="J31" s="14" t="s">
        <v>60</v>
      </c>
      <c r="K31" s="14" t="s">
        <v>60</v>
      </c>
      <c r="L31" s="14" t="s">
        <v>78</v>
      </c>
      <c r="M31" s="14" t="s">
        <v>116</v>
      </c>
      <c r="N31" s="14" t="s">
        <v>60</v>
      </c>
      <c r="O31" s="14" t="s">
        <v>60</v>
      </c>
      <c r="P31" s="14" t="s">
        <v>65</v>
      </c>
      <c r="Q31" s="17">
        <v>100</v>
      </c>
      <c r="R31" s="18"/>
      <c r="S31" s="19">
        <f>Banco_OrçamentoEspelho[[#This Row],[NET WEIGHT (Kg)]]*Banco_OrçamentoEspelho[[#This Row],[QUANTITY]]</f>
        <v>0</v>
      </c>
      <c r="T31" s="10">
        <v>36.976900000000001</v>
      </c>
      <c r="U31" s="20">
        <f>Banco_OrçamentoEspelho[[#This Row],[PRICE UNIT. (USD)]]*Banco_OrçamentoEspelho[[#This Row],[QUANTITY]]</f>
        <v>3697.69</v>
      </c>
      <c r="V31" s="21">
        <v>84818094</v>
      </c>
      <c r="W31" s="14" t="s">
        <v>125</v>
      </c>
      <c r="X31" s="13"/>
    </row>
    <row r="32" spans="1:24" s="22" customFormat="1">
      <c r="A32" s="14">
        <f>ROW()-ROW(Banco_OrçamentoEspelho[[#Headers],[ITEM]])</f>
        <v>31</v>
      </c>
      <c r="B32" s="15" t="s">
        <v>54</v>
      </c>
      <c r="C32" s="16" t="s">
        <v>119</v>
      </c>
      <c r="D32" s="16" t="s">
        <v>126</v>
      </c>
      <c r="E32" s="16" t="s">
        <v>60</v>
      </c>
      <c r="F32" s="14" t="s">
        <v>114</v>
      </c>
      <c r="G32" s="14" t="s">
        <v>115</v>
      </c>
      <c r="H32" s="14" t="s">
        <v>60</v>
      </c>
      <c r="I32" s="14" t="s">
        <v>60</v>
      </c>
      <c r="J32" s="14" t="s">
        <v>60</v>
      </c>
      <c r="K32" s="14" t="s">
        <v>60</v>
      </c>
      <c r="L32" s="14" t="s">
        <v>63</v>
      </c>
      <c r="M32" s="14" t="s">
        <v>116</v>
      </c>
      <c r="N32" s="14" t="s">
        <v>60</v>
      </c>
      <c r="O32" s="14" t="s">
        <v>60</v>
      </c>
      <c r="P32" s="14" t="s">
        <v>65</v>
      </c>
      <c r="Q32" s="17">
        <v>100</v>
      </c>
      <c r="R32" s="18"/>
      <c r="S32" s="19">
        <f>Banco_OrçamentoEspelho[[#This Row],[NET WEIGHT (Kg)]]*Banco_OrçamentoEspelho[[#This Row],[QUANTITY]]</f>
        <v>0</v>
      </c>
      <c r="T32" s="10">
        <v>52.030700000000003</v>
      </c>
      <c r="U32" s="20">
        <f>Banco_OrçamentoEspelho[[#This Row],[PRICE UNIT. (USD)]]*Banco_OrçamentoEspelho[[#This Row],[QUANTITY]]</f>
        <v>5203.0700000000006</v>
      </c>
      <c r="V32" s="21">
        <v>84818094</v>
      </c>
      <c r="W32" s="14" t="s">
        <v>125</v>
      </c>
      <c r="X32" s="13"/>
    </row>
    <row r="33" spans="1:24" s="22" customFormat="1">
      <c r="A33" s="14">
        <f>ROW()-ROW(Banco_OrçamentoEspelho[[#Headers],[ITEM]])</f>
        <v>32</v>
      </c>
      <c r="B33" s="15" t="s">
        <v>55</v>
      </c>
      <c r="C33" s="16" t="s">
        <v>120</v>
      </c>
      <c r="D33" s="16" t="s">
        <v>126</v>
      </c>
      <c r="E33" s="16" t="s">
        <v>60</v>
      </c>
      <c r="F33" s="14" t="s">
        <v>114</v>
      </c>
      <c r="G33" s="14" t="s">
        <v>115</v>
      </c>
      <c r="H33" s="14" t="s">
        <v>60</v>
      </c>
      <c r="I33" s="14" t="s">
        <v>60</v>
      </c>
      <c r="J33" s="14" t="s">
        <v>60</v>
      </c>
      <c r="K33" s="14" t="s">
        <v>60</v>
      </c>
      <c r="L33" s="14" t="s">
        <v>67</v>
      </c>
      <c r="M33" s="14" t="s">
        <v>116</v>
      </c>
      <c r="N33" s="14" t="s">
        <v>60</v>
      </c>
      <c r="O33" s="14" t="s">
        <v>60</v>
      </c>
      <c r="P33" s="14" t="s">
        <v>65</v>
      </c>
      <c r="Q33" s="17">
        <v>80</v>
      </c>
      <c r="R33" s="18"/>
      <c r="S33" s="19">
        <f>Banco_OrçamentoEspelho[[#This Row],[NET WEIGHT (Kg)]]*Banco_OrçamentoEspelho[[#This Row],[QUANTITY]]</f>
        <v>0</v>
      </c>
      <c r="T33" s="10">
        <v>58.023000000000003</v>
      </c>
      <c r="U33" s="20">
        <f>Banco_OrçamentoEspelho[[#This Row],[PRICE UNIT. (USD)]]*Banco_OrçamentoEspelho[[#This Row],[QUANTITY]]</f>
        <v>4641.84</v>
      </c>
      <c r="V33" s="21">
        <v>84818094</v>
      </c>
      <c r="W33" s="14" t="s">
        <v>125</v>
      </c>
      <c r="X33" s="13"/>
    </row>
    <row r="34" spans="1:24" s="22" customFormat="1">
      <c r="A34" s="14">
        <f>ROW()-ROW(Banco_OrçamentoEspelho[[#Headers],[ITEM]])</f>
        <v>33</v>
      </c>
      <c r="B34" s="15" t="s">
        <v>56</v>
      </c>
      <c r="C34" s="16" t="s">
        <v>121</v>
      </c>
      <c r="D34" s="16" t="s">
        <v>126</v>
      </c>
      <c r="E34" s="16" t="s">
        <v>60</v>
      </c>
      <c r="F34" s="14" t="s">
        <v>114</v>
      </c>
      <c r="G34" s="14" t="s">
        <v>115</v>
      </c>
      <c r="H34" s="14" t="s">
        <v>60</v>
      </c>
      <c r="I34" s="14" t="s">
        <v>60</v>
      </c>
      <c r="J34" s="14" t="s">
        <v>60</v>
      </c>
      <c r="K34" s="14" t="s">
        <v>60</v>
      </c>
      <c r="L34" s="14" t="s">
        <v>83</v>
      </c>
      <c r="M34" s="14" t="s">
        <v>116</v>
      </c>
      <c r="N34" s="14" t="s">
        <v>60</v>
      </c>
      <c r="O34" s="14" t="s">
        <v>60</v>
      </c>
      <c r="P34" s="14" t="s">
        <v>65</v>
      </c>
      <c r="Q34" s="17">
        <v>20</v>
      </c>
      <c r="R34" s="18"/>
      <c r="S34" s="19">
        <f>Banco_OrçamentoEspelho[[#This Row],[NET WEIGHT (Kg)]]*Banco_OrçamentoEspelho[[#This Row],[QUANTITY]]</f>
        <v>0</v>
      </c>
      <c r="T34" s="10">
        <v>139.4307</v>
      </c>
      <c r="U34" s="20">
        <f>Banco_OrçamentoEspelho[[#This Row],[PRICE UNIT. (USD)]]*Banco_OrçamentoEspelho[[#This Row],[QUANTITY]]</f>
        <v>2788.614</v>
      </c>
      <c r="V34" s="21">
        <v>84818094</v>
      </c>
      <c r="W34" s="14" t="s">
        <v>125</v>
      </c>
      <c r="X34" s="13"/>
    </row>
    <row r="35" spans="1:24" s="22" customFormat="1">
      <c r="A35" s="14">
        <f>ROW()-ROW(Banco_OrçamentoEspelho[[#Headers],[ITEM]])</f>
        <v>34</v>
      </c>
      <c r="B35" s="15" t="s">
        <v>57</v>
      </c>
      <c r="C35" s="16" t="s">
        <v>122</v>
      </c>
      <c r="D35" s="16" t="s">
        <v>126</v>
      </c>
      <c r="E35" s="16" t="s">
        <v>60</v>
      </c>
      <c r="F35" s="14" t="s">
        <v>114</v>
      </c>
      <c r="G35" s="14" t="s">
        <v>115</v>
      </c>
      <c r="H35" s="14" t="s">
        <v>60</v>
      </c>
      <c r="I35" s="14" t="s">
        <v>60</v>
      </c>
      <c r="J35" s="14" t="s">
        <v>60</v>
      </c>
      <c r="K35" s="14" t="s">
        <v>60</v>
      </c>
      <c r="L35" s="14" t="s">
        <v>72</v>
      </c>
      <c r="M35" s="14" t="s">
        <v>116</v>
      </c>
      <c r="N35" s="14" t="s">
        <v>60</v>
      </c>
      <c r="O35" s="14" t="s">
        <v>60</v>
      </c>
      <c r="P35" s="14" t="s">
        <v>65</v>
      </c>
      <c r="Q35" s="17">
        <v>15</v>
      </c>
      <c r="R35" s="18"/>
      <c r="S35" s="19">
        <f>Banco_OrçamentoEspelho[[#This Row],[NET WEIGHT (Kg)]]*Banco_OrçamentoEspelho[[#This Row],[QUANTITY]]</f>
        <v>0</v>
      </c>
      <c r="T35" s="10">
        <v>310.72300000000001</v>
      </c>
      <c r="U35" s="20">
        <f>Banco_OrçamentoEspelho[[#This Row],[PRICE UNIT. (USD)]]*Banco_OrçamentoEspelho[[#This Row],[QUANTITY]]</f>
        <v>4660.8450000000003</v>
      </c>
      <c r="V35" s="21">
        <v>84818094</v>
      </c>
      <c r="W35" s="14" t="s">
        <v>125</v>
      </c>
      <c r="X35" s="13"/>
    </row>
    <row r="36" spans="1:24">
      <c r="A36" s="5"/>
      <c r="B36" s="7"/>
      <c r="C36" s="6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  <c r="R36" s="8"/>
      <c r="S36" s="9"/>
      <c r="T36" s="10"/>
      <c r="U36" s="11">
        <f>SUBTOTAL(109,U2:U35)</f>
        <v>78827.631999999998</v>
      </c>
      <c r="V36" s="12"/>
      <c r="W36" s="5"/>
      <c r="X36" s="13"/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Espelho do 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 plasnox</dc:creator>
  <cp:lastModifiedBy>import plasnox</cp:lastModifiedBy>
  <dcterms:created xsi:type="dcterms:W3CDTF">2026-02-04T16:49:00Z</dcterms:created>
  <dcterms:modified xsi:type="dcterms:W3CDTF">2026-02-10T19:12:14Z</dcterms:modified>
</cp:coreProperties>
</file>
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73-26 (Q2026-03) PED10577 - OVERHEAD\"/>
    </mc:Choice>
  </mc:AlternateContent>
  <xr:revisionPtr revIDLastSave="0" documentId="13_ncr:1_{F9181943-1573-4E68-911E-2EF8F783C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Print_Area" localSheetId="0">Sheet1!$A$1:$S$57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2" l="1"/>
  <c r="J45" i="2"/>
  <c r="J44" i="2"/>
  <c r="J43" i="2"/>
  <c r="J42" i="2"/>
  <c r="J41" i="2"/>
  <c r="J40" i="2"/>
  <c r="J39" i="2"/>
  <c r="N38" i="2"/>
  <c r="J37" i="2"/>
  <c r="J36" i="2"/>
  <c r="J35" i="2"/>
  <c r="J34" i="2"/>
  <c r="L33" i="2"/>
  <c r="J32" i="2"/>
  <c r="I47" i="2" l="1"/>
  <c r="L39" i="2"/>
  <c r="N39" i="2"/>
  <c r="L37" i="2"/>
  <c r="L34" i="2"/>
  <c r="N41" i="2"/>
  <c r="L41" i="2"/>
  <c r="N37" i="2"/>
  <c r="L44" i="2"/>
  <c r="N34" i="2"/>
  <c r="N44" i="2"/>
  <c r="L42" i="2"/>
  <c r="L45" i="2"/>
  <c r="N35" i="2"/>
  <c r="N42" i="2"/>
  <c r="L32" i="2"/>
  <c r="L36" i="2"/>
  <c r="L40" i="2"/>
  <c r="L43" i="2"/>
  <c r="L46" i="2"/>
  <c r="N32" i="2"/>
  <c r="N36" i="2"/>
  <c r="N40" i="2"/>
  <c r="N43" i="2"/>
  <c r="N46" i="2"/>
  <c r="J38" i="2"/>
  <c r="L35" i="2"/>
  <c r="N33" i="2"/>
  <c r="J33" i="2"/>
  <c r="L38" i="2"/>
  <c r="N45" i="2"/>
  <c r="L47" i="2" l="1"/>
  <c r="N47" i="2"/>
</calcChain>
</file>

<file path=xl/sharedStrings.xml><?xml version="1.0" encoding="utf-8"?>
<sst xmlns="http://schemas.openxmlformats.org/spreadsheetml/2006/main" count="177" uniqueCount="108">
  <si>
    <t>Invoice No.  &amp; Date:</t>
  </si>
  <si>
    <t>IEC CODE</t>
  </si>
  <si>
    <t>AAOFN6213E</t>
  </si>
  <si>
    <t>Buyer's Order No. &amp; Date:</t>
  </si>
  <si>
    <t>NASCENT PIPE &amp; TUBES</t>
  </si>
  <si>
    <t>Gut No. 214/3, Village Kondhale, Talathi - Saja,</t>
  </si>
  <si>
    <t>Kudus, Tal - Wada, Dist - Palghar - 421312.</t>
  </si>
  <si>
    <t>Maharashtra.</t>
  </si>
  <si>
    <t>India.</t>
  </si>
  <si>
    <r>
      <rPr>
        <b/>
        <u/>
        <sz val="10"/>
        <rFont val="Calibri"/>
        <family val="2"/>
        <scheme val="minor"/>
      </rPr>
      <t>Container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</si>
  <si>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Vessel / Flight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</si>
  <si>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Port of Loading</t>
    </r>
  </si>
  <si>
    <r>
      <rPr>
        <b/>
        <u/>
        <sz val="10"/>
        <rFont val="Calibri"/>
        <family val="2"/>
        <scheme val="minor"/>
      </rPr>
      <t>Payment Terms:</t>
    </r>
  </si>
  <si>
    <r>
      <rPr>
        <b/>
        <u/>
        <sz val="10"/>
        <rFont val="Calibri"/>
        <family val="2"/>
        <scheme val="minor"/>
      </rPr>
      <t>Port of Discharge</t>
    </r>
  </si>
  <si>
    <r>
      <rPr>
        <b/>
        <u/>
        <sz val="10"/>
        <rFont val="Calibri"/>
        <family val="2"/>
        <scheme val="minor"/>
      </rPr>
      <t>Final Destination</t>
    </r>
  </si>
  <si>
    <r>
      <rPr>
        <b/>
        <u/>
        <sz val="10"/>
        <rFont val="Calibri"/>
        <family val="2"/>
        <scheme val="minor"/>
      </rPr>
      <t>Other Reference(s)</t>
    </r>
  </si>
  <si>
    <t>INDIA</t>
  </si>
  <si>
    <t>NAME : NASCENT PIPE &amp; TUBES</t>
  </si>
  <si>
    <t>BANK : SARASWAT CO-OP BANK LTD.</t>
  </si>
  <si>
    <t>A/C NO. : 270500100000338</t>
  </si>
  <si>
    <t>SWIFT CODE : SRCBINBBGHT</t>
  </si>
  <si>
    <t>PROFORMA INVOICE</t>
  </si>
  <si>
    <t>Brazil</t>
  </si>
  <si>
    <t>FOB</t>
  </si>
  <si>
    <t>TOTAL QUANTITY :</t>
  </si>
  <si>
    <r>
      <rPr>
        <b/>
        <u/>
        <sz val="11"/>
        <rFont val="Calibri"/>
        <family val="2"/>
        <scheme val="minor"/>
      </rPr>
      <t>BANK DETAILS:</t>
    </r>
  </si>
  <si>
    <r>
      <rPr>
        <b/>
        <u/>
        <sz val="12"/>
        <rFont val="Calibri"/>
        <family val="2"/>
        <scheme val="minor"/>
      </rPr>
      <t>EXPORTER:</t>
    </r>
  </si>
  <si>
    <r>
      <rPr>
        <b/>
        <u/>
        <sz val="12"/>
        <rFont val="Calibri"/>
        <family val="2"/>
        <scheme val="minor"/>
      </rPr>
      <t>CONSIGNEE:</t>
    </r>
  </si>
  <si>
    <r>
      <rPr>
        <b/>
        <u/>
        <sz val="10"/>
        <rFont val="Calibri"/>
        <family val="2"/>
        <scheme val="minor"/>
      </rPr>
      <t>Country of Final Destination</t>
    </r>
  </si>
  <si>
    <r>
      <rPr>
        <b/>
        <u/>
        <sz val="10"/>
        <rFont val="Calibri"/>
        <family val="2"/>
        <scheme val="minor"/>
      </rPr>
      <t>Terms of Delivery &amp; payment:</t>
    </r>
  </si>
  <si>
    <r>
      <rPr>
        <b/>
        <u/>
        <sz val="10"/>
        <rFont val="Calibri"/>
        <family val="2"/>
        <scheme val="minor"/>
      </rPr>
      <t>Buyer ( if other than consignee )</t>
    </r>
  </si>
  <si>
    <r>
      <rPr>
        <b/>
        <u/>
        <sz val="10"/>
        <rFont val="Calibri"/>
        <family val="2"/>
        <scheme val="minor"/>
      </rPr>
      <t>SHIP TO:</t>
    </r>
  </si>
  <si>
    <t>Same as Consignee</t>
  </si>
  <si>
    <t>Contact: +91 7021318129</t>
  </si>
  <si>
    <t>Attn: Mr. Krish Shah</t>
  </si>
  <si>
    <t>India</t>
  </si>
  <si>
    <r>
      <rPr>
        <b/>
        <u/>
        <sz val="10"/>
        <rFont val="Calibri"/>
        <family val="2"/>
        <scheme val="minor"/>
      </rPr>
      <t>Declaration:</t>
    </r>
  </si>
  <si>
    <r>
      <rPr>
        <b/>
        <u/>
        <sz val="10"/>
        <rFont val="Calibri"/>
        <family val="2"/>
        <scheme val="minor"/>
      </rPr>
      <t>We declaration that invoice shows the actual price of goods</t>
    </r>
  </si>
  <si>
    <r>
      <rPr>
        <b/>
        <u/>
        <sz val="10"/>
        <rFont val="Calibri"/>
        <family val="2"/>
        <scheme val="minor"/>
      </rPr>
      <t>described and that all particulars are true &amp; correct</t>
    </r>
    <r>
      <rPr>
        <b/>
        <sz val="10"/>
        <rFont val="Calibri"/>
        <family val="2"/>
        <scheme val="minor"/>
      </rPr>
      <t xml:space="preserve"> .</t>
    </r>
  </si>
  <si>
    <t>PLASNOX IND. E COM. DE IMPORTACOES LTDA</t>
  </si>
  <si>
    <t>Rua Benifacio Haendchen, 755-Belchior Central,</t>
  </si>
  <si>
    <t>Gaspar - SC , 98110-975 - BRAZIL</t>
  </si>
  <si>
    <t>79.925.442/0001-07- Inscricao estadual : 251.465.888</t>
  </si>
  <si>
    <t>contact : +5547 33316700</t>
  </si>
  <si>
    <t>Signature / Date </t>
  </si>
  <si>
    <t>ITEM</t>
  </si>
  <si>
    <t>ITEM ID.</t>
  </si>
  <si>
    <t>Standard</t>
  </si>
  <si>
    <t>DESCRIPTION ENGLISH</t>
  </si>
  <si>
    <t>MATERIAL</t>
  </si>
  <si>
    <t>SIZE(Thickness x Length)</t>
  </si>
  <si>
    <t>QUANTITY/M</t>
  </si>
  <si>
    <t>PCS</t>
  </si>
  <si>
    <t>PRICE USD/METERS</t>
  </si>
  <si>
    <t>TOTAL PRICE</t>
  </si>
  <si>
    <t>NET WEIGHT (kg)</t>
  </si>
  <si>
    <t>TOTAL WEIGHT (kg)</t>
  </si>
  <si>
    <t>NCM CODE</t>
  </si>
  <si>
    <t>HEAT NO.</t>
  </si>
  <si>
    <t>MARKING ENGLISH</t>
  </si>
  <si>
    <t>PACKAGING ENGLISH</t>
  </si>
  <si>
    <t>ESPESSURA</t>
  </si>
  <si>
    <t>100% PACKAGING WITH PLASTIC BAG/BLUE PLASTIC CAPS ENDS FOR SS304 MATERIAL</t>
  </si>
  <si>
    <t xml:space="preserve">M </t>
  </si>
  <si>
    <t>U.O.M</t>
  </si>
  <si>
    <r>
      <rPr>
        <b/>
        <sz val="11"/>
        <rFont val="Calibri"/>
        <family val="2"/>
        <scheme val="minor"/>
      </rPr>
      <t>Exporter Ref.</t>
    </r>
  </si>
  <si>
    <t>Ref. Plasnox</t>
  </si>
  <si>
    <t>Country of Origin of Goods</t>
  </si>
  <si>
    <t>08.06.2026</t>
  </si>
  <si>
    <t>25 % Advance &amp; Balance before shipment</t>
  </si>
  <si>
    <t>MSC2403.1104</t>
  </si>
  <si>
    <t>A554</t>
  </si>
  <si>
    <t>TUBE ROUND WELDED/ASTM A554 ORNAMENTAL STAINLESS/ OUTSIDE POLISHED 600 GRIT /THICKNESS 1.2MM X LENGTH 6000MM/PC</t>
  </si>
  <si>
    <t>OD012,70 (1/2P) x 1,2MM x 6MTS</t>
  </si>
  <si>
    <t>MSC2403.1105</t>
  </si>
  <si>
    <t>MSC2403.1106</t>
  </si>
  <si>
    <t>MSC2403.1107</t>
  </si>
  <si>
    <t>MSC2403.1108</t>
  </si>
  <si>
    <t>MSC2403.1109</t>
  </si>
  <si>
    <t>MSC2403.1204</t>
  </si>
  <si>
    <t>MSC2403.1205</t>
  </si>
  <si>
    <t>MSC2403.1206</t>
  </si>
  <si>
    <t>MSC2403.1207</t>
  </si>
  <si>
    <t>MSC2403.1208</t>
  </si>
  <si>
    <t>MSC2403.1209</t>
  </si>
  <si>
    <t>MSC2403.1210</t>
  </si>
  <si>
    <t>MSC2403.1211</t>
  </si>
  <si>
    <t>MSC2403.1212</t>
  </si>
  <si>
    <t>OD019,05 (3/4P) x 1,2MM x 6MTS</t>
  </si>
  <si>
    <t>OD025,40 (1P) x 1,2MM x 6MTS</t>
  </si>
  <si>
    <t>OD031,75 (1.1/4P) x 1,2MM x 6MTS</t>
  </si>
  <si>
    <t>OD038,10 (1.1/2P) x 1,2MM x 6MTS</t>
  </si>
  <si>
    <t>OD050,80 (2P) x 1,2MM x 6MTS</t>
  </si>
  <si>
    <t>OD012,70 (1/2P) x 1,5MM x 6MTS</t>
  </si>
  <si>
    <t>OD019,05 (3/4P) x 1,5MM x 6MTS</t>
  </si>
  <si>
    <t>OD025,40 (1P) x 1,5MM x 6MTS</t>
  </si>
  <si>
    <t>OD031,75 (1.1/4P) x 1,5MM x 6MTS</t>
  </si>
  <si>
    <t>OD038,10 (1.1/2P) x 1,5MM x 6MTS</t>
  </si>
  <si>
    <t>OD050,80 (2P) x 1,5MM x 6MTS</t>
  </si>
  <si>
    <t>OD063,50 (2.1/2P) x 1,5MM x 6MTS</t>
  </si>
  <si>
    <t>OD076,20 (3P) x 1,5MM x 6MTS</t>
  </si>
  <si>
    <t>OD101,60 (4P) x 1,5MM x 6MTS</t>
  </si>
  <si>
    <t>NPT26-27/006</t>
  </si>
  <si>
    <t>19314 MTS</t>
  </si>
  <si>
    <t>TUBE ROUND WELDED/ASTM A554 ORNAMENTAL STAINLESS/ OUTSIDE POLISHED 600 GRIT /THICKNESS 1.5MM X LENGTH 6000MM/PC</t>
  </si>
  <si>
    <t>Delivery time: 60 days after shipment of invoice NPT26-27/005</t>
  </si>
  <si>
    <t>NL073261</t>
  </si>
  <si>
    <t>NL073262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</si>
</sst>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\.mm\.yyyy"/>
    <numFmt numFmtId="165" formatCode="[$USD]\ #,##0.00"/>
    <numFmt numFmtId="166" formatCode="&quot;US$&quot;#,##0.00;\-&quot;US$&quot;#,##0.00"/>
    <numFmt numFmtId="167" formatCode="0.000_ "/>
    <numFmt numFmtId="168" formatCode="0.00_);\(0.00\)"/>
    <numFmt numFmtId="169" formatCode="0.00_);[Red]\(0.00\)"/>
  </numFmts>
  <fonts count="2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8.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1">
    <xf numFmtId="0" fontId="0" fillId="0" borderId="0" xfId="0" applyAlignment="1">
      <alignment horizontal="left" vertical="top"/>
    </xf>
    <xf numFmtId="0" fontId="6" fillId="0" borderId="2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vertic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 applyProtection="1">
      <alignment horizontal="center"/>
      <protection locked="0"/>
    </xf>
    <xf numFmtId="0" fontId="5" fillId="0" borderId="0" xfId="0" applyFont="1"/>
    <xf numFmtId="16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readingOrder="1"/>
    </xf>
    <xf numFmtId="166" fontId="17" fillId="0" borderId="0" xfId="0" applyNumberFormat="1" applyFont="1" applyAlignment="1">
      <alignment horizontal="center" vertical="center"/>
    </xf>
    <xf numFmtId="168" fontId="16" fillId="0" borderId="0" xfId="0" applyNumberFormat="1" applyFont="1"/>
    <xf numFmtId="169" fontId="11" fillId="0" borderId="0" xfId="0" applyNumberFormat="1" applyFont="1" applyAlignment="1">
      <alignment vertical="center"/>
    </xf>
    <xf numFmtId="0" fontId="16" fillId="0" borderId="0" xfId="0" applyFont="1"/>
    <xf numFmtId="0" fontId="5" fillId="0" borderId="0" xfId="0" applyFont="1" applyAlignment="1">
      <alignment horizontal="left" vertical="top"/>
    </xf>
    <xf numFmtId="0" fontId="6" fillId="0" borderId="2" xfId="0" applyFont="1" applyBorder="1" applyAlignment="1">
      <alignment vertical="center"/>
    </xf>
    <xf numFmtId="0" fontId="5" fillId="0" borderId="30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4" fillId="0" borderId="32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26" xfId="0" applyFont="1" applyBorder="1" applyAlignment="1">
      <alignment horizontal="left" vertical="top" wrapText="1"/>
    </xf>
    <xf numFmtId="164" fontId="5" fillId="0" borderId="26" xfId="0" applyNumberFormat="1" applyFont="1" applyBorder="1" applyAlignment="1">
      <alignment horizontal="center" vertical="top" shrinkToFit="1"/>
    </xf>
    <xf numFmtId="0" fontId="5" fillId="0" borderId="26" xfId="0" applyFont="1" applyBorder="1" applyAlignment="1">
      <alignment horizontal="left" wrapText="1"/>
    </xf>
    <xf numFmtId="0" fontId="6" fillId="0" borderId="26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 indent="25"/>
    </xf>
    <xf numFmtId="0" fontId="4" fillId="0" borderId="3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vertical="center"/>
    </xf>
    <xf numFmtId="0" fontId="15" fillId="3" borderId="48" xfId="0" applyFont="1" applyFill="1" applyBorder="1" applyAlignment="1" applyProtection="1">
      <alignment horizontal="center" vertical="center"/>
      <protection locked="0"/>
    </xf>
    <xf numFmtId="165" fontId="14" fillId="2" borderId="48" xfId="0" applyNumberFormat="1" applyFont="1" applyFill="1" applyBorder="1" applyAlignment="1">
      <alignment vertical="center"/>
    </xf>
    <xf numFmtId="2" fontId="14" fillId="2" borderId="48" xfId="0" applyNumberFormat="1" applyFont="1" applyFill="1" applyBorder="1" applyAlignment="1">
      <alignment vertical="center"/>
    </xf>
    <xf numFmtId="0" fontId="14" fillId="2" borderId="49" xfId="0" applyFont="1" applyFill="1" applyBorder="1" applyAlignment="1">
      <alignment vertical="center"/>
    </xf>
    <xf numFmtId="0" fontId="5" fillId="0" borderId="16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2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2" fontId="5" fillId="0" borderId="21" xfId="0" applyNumberFormat="1" applyFont="1" applyBorder="1"/>
    <xf numFmtId="0" fontId="5" fillId="0" borderId="50" xfId="0" applyFont="1" applyBorder="1"/>
    <xf numFmtId="0" fontId="21" fillId="0" borderId="49" xfId="0" applyFont="1" applyBorder="1" applyAlignment="1">
      <alignment horizontal="center" vertical="center" wrapText="1"/>
    </xf>
    <xf numFmtId="0" fontId="5" fillId="0" borderId="28" xfId="0" applyFont="1" applyBorder="1"/>
    <xf numFmtId="0" fontId="5" fillId="0" borderId="29" xfId="0" applyFont="1" applyBorder="1"/>
    <xf numFmtId="0" fontId="5" fillId="0" borderId="29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8" fillId="5" borderId="0" xfId="0" applyNumberFormat="1" applyFont="1" applyFill="1"/>
    <xf numFmtId="165" fontId="5" fillId="0" borderId="0" xfId="0" applyNumberFormat="1" applyFont="1"/>
    <xf numFmtId="2" fontId="8" fillId="5" borderId="0" xfId="0" applyNumberFormat="1" applyFont="1" applyFill="1"/>
    <xf numFmtId="2" fontId="5" fillId="0" borderId="0" xfId="0" applyNumberFormat="1" applyFont="1"/>
    <xf numFmtId="0" fontId="22" fillId="4" borderId="14" xfId="0" applyFont="1" applyFill="1" applyBorder="1"/>
    <xf numFmtId="0" fontId="22" fillId="4" borderId="16" xfId="0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readingOrder="1"/>
    </xf>
    <xf numFmtId="167" fontId="6" fillId="0" borderId="0" xfId="0" applyNumberFormat="1" applyFont="1" applyAlignment="1">
      <alignment horizontal="center" vertical="center"/>
    </xf>
    <xf numFmtId="167" fontId="5" fillId="0" borderId="0" xfId="0" applyNumberFormat="1" applyFont="1"/>
    <xf numFmtId="167" fontId="4" fillId="0" borderId="0" xfId="0" applyNumberFormat="1" applyFont="1" applyAlignment="1">
      <alignment vertical="center"/>
    </xf>
    <xf numFmtId="167" fontId="6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5" fillId="6" borderId="14" xfId="0" applyFont="1" applyFill="1" applyBorder="1"/>
    <xf numFmtId="0" fontId="0" fillId="6" borderId="14" xfId="0" applyFill="1" applyBorder="1" applyAlignment="1">
      <alignment horizontal="center"/>
    </xf>
    <xf numFmtId="165" fontId="5" fillId="5" borderId="14" xfId="0" applyNumberFormat="1" applyFont="1" applyFill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14" fillId="2" borderId="47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165" fontId="8" fillId="5" borderId="46" xfId="0" applyNumberFormat="1" applyFont="1" applyFill="1" applyBorder="1" applyAlignment="1">
      <alignment horizontal="center" vertical="center"/>
    </xf>
    <xf numFmtId="165" fontId="5" fillId="0" borderId="46" xfId="0" applyNumberFormat="1" applyFont="1" applyBorder="1" applyAlignment="1">
      <alignment horizontal="center" vertical="center"/>
    </xf>
    <xf numFmtId="2" fontId="8" fillId="5" borderId="46" xfId="0" applyNumberFormat="1" applyFont="1" applyFill="1" applyBorder="1" applyAlignment="1">
      <alignment horizontal="center" vertical="center"/>
    </xf>
    <xf numFmtId="0" fontId="0" fillId="0" borderId="14" xfId="0" applyBorder="1"/>
    <xf numFmtId="0" fontId="14" fillId="2" borderId="54" xfId="0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9" fillId="0" borderId="36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 wrapText="1"/>
    </xf>
    <xf numFmtId="0" fontId="9" fillId="0" borderId="35" xfId="0" applyFont="1" applyBorder="1" applyAlignment="1">
      <alignment horizontal="center" vertical="top" wrapText="1"/>
    </xf>
    <xf numFmtId="0" fontId="9" fillId="0" borderId="5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32" xfId="0" applyFont="1" applyBorder="1" applyAlignment="1">
      <alignment horizontal="center" vertical="top" wrapText="1"/>
    </xf>
    <xf numFmtId="0" fontId="9" fillId="0" borderId="52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53" xfId="0" applyFont="1" applyBorder="1" applyAlignment="1">
      <alignment horizontal="center" vertical="top" wrapText="1"/>
    </xf>
    <xf numFmtId="0" fontId="20" fillId="0" borderId="1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center" vertical="top" shrinkToFit="1"/>
    </xf>
    <xf numFmtId="0" fontId="11" fillId="0" borderId="1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 indent="25"/>
    </xf>
    <xf numFmtId="0" fontId="3" fillId="0" borderId="6" xfId="0" applyFont="1" applyBorder="1" applyAlignment="1">
      <alignment horizontal="left" vertical="top" wrapText="1" indent="25"/>
    </xf>
    <xf numFmtId="0" fontId="3" fillId="0" borderId="0" xfId="0" applyFont="1" applyAlignment="1">
      <alignment horizontal="left" vertical="top" wrapText="1" indent="25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40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/>
    </xf>
    <xf numFmtId="0" fontId="6" fillId="0" borderId="43" xfId="0" applyFont="1" applyBorder="1" applyAlignment="1">
      <alignment horizontal="center" vertical="top" wrapText="1"/>
    </xf>
    <xf numFmtId="0" fontId="6" fillId="0" borderId="44" xfId="0" applyFont="1" applyBorder="1" applyAlignment="1">
      <alignment horizontal="center" vertical="top" wrapText="1"/>
    </xf>
    <xf numFmtId="0" fontId="6" fillId="0" borderId="45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</cellXfs>
  <cellStyles count="2">
    <cellStyle name="Normal" xfId="0" builtinId="0"/>
    <cellStyle name="Normal 5" xfId="1" xr:uid="{483876B8-E1A3-4350-AF65-6F7A2B55137B}"/>
  </cellStyles>
  <dxfs count="0"/>
  <tableStyles count="1" defaultTableStyle="TableStyleMedium9" defaultPivotStyle="PivotStyleLight16">
    <tableStyle name="Invisible" pivot="0" table="0" count="0" xr9:uid="{25C955F3-6456-4C37-8F61-2AE3287909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185207</xdr:colOff>
      <xdr:row>0</xdr:row>
      <xdr:rowOff>85990</xdr:rowOff>
    </xdr:from>
    <xdr:ext cx="6786563" cy="1003516"/>
    <xdr:pic>
      <xdr:nvPicPr>
        <xdr:cNvPr id="2" name="image2.png">
          <a:extLst>
            <a:ext uri="{FF2B5EF4-FFF2-40B4-BE49-F238E27FC236}">
              <a16:creationId xmlns:a16="http://schemas.microsoft.com/office/drawing/2014/main" id="{26D9AEFE-0691-467F-8B3F-D94EAAB7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395" y="85990"/>
          <a:ext cx="6786563" cy="10035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port@nascent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919E-EE5F-46BD-835B-9424FAEEDE0B}">
  <dimension ref="A1:CTZ61"/>
  <sheetViews>
    <sheetView tabSelected="1" topLeftCell="A22" zoomScale="96" zoomScaleNormal="96" zoomScaleSheetLayoutView="96" workbookViewId="0">
      <selection activeCell="F46" sqref="F46:G46"/>
    </sheetView>
  </sheetViews>
  <sheetFormatPr defaultColWidth="8.77734375" defaultRowHeight="13.8" x14ac:dyDescent="0.25"/>
  <cols>
    <col min="1" max="1" width="6.77734375" style="18" customWidth="1"/>
    <col min="2" max="2" width="16.6640625" style="18" customWidth="1"/>
    <col min="3" max="3" width="10.77734375" style="18" customWidth="1"/>
    <col min="4" max="4" width="21" style="18" customWidth="1"/>
    <col min="5" max="5" width="9.44140625" style="18" customWidth="1"/>
    <col min="6" max="6" width="14.44140625" style="18" customWidth="1"/>
    <col min="7" max="7" width="30.77734375" style="18" customWidth="1"/>
    <col min="8" max="8" width="8.77734375" style="18" customWidth="1"/>
    <col min="9" max="9" width="13.21875" style="18" customWidth="1"/>
    <col min="10" max="10" width="14.44140625" style="18" customWidth="1"/>
    <col min="11" max="11" width="13.6640625" style="18" customWidth="1"/>
    <col min="12" max="12" width="16.77734375" style="18" customWidth="1"/>
    <col min="13" max="13" width="14.6640625" style="18" customWidth="1"/>
    <col min="14" max="14" width="11" style="18" customWidth="1"/>
    <col min="15" max="15" width="10.77734375" style="18" customWidth="1"/>
    <col min="16" max="16" width="9.33203125" style="18" bestFit="1" customWidth="1"/>
    <col min="17" max="17" width="9" style="18" bestFit="1" customWidth="1"/>
    <col min="18" max="18" width="69" style="18" bestFit="1" customWidth="1"/>
    <col min="19" max="19" width="16.33203125" style="18" customWidth="1"/>
    <col min="20" max="16384" width="8.77734375" style="18"/>
  </cols>
  <sheetData>
    <row r="1" spans="1:10" x14ac:dyDescent="0.25">
      <c r="A1" s="143"/>
      <c r="B1" s="144"/>
      <c r="C1" s="144"/>
      <c r="D1" s="144"/>
      <c r="E1" s="144"/>
      <c r="F1" s="144"/>
      <c r="G1" s="144"/>
      <c r="H1" s="144"/>
      <c r="I1" s="144"/>
      <c r="J1" s="20"/>
    </row>
    <row r="2" spans="1:10" x14ac:dyDescent="0.25">
      <c r="A2" s="145"/>
      <c r="B2" s="146"/>
      <c r="C2" s="146"/>
      <c r="D2" s="146"/>
      <c r="E2" s="146"/>
      <c r="F2" s="146"/>
      <c r="G2" s="146"/>
      <c r="H2" s="146"/>
      <c r="I2" s="146"/>
      <c r="J2" s="21"/>
    </row>
    <row r="3" spans="1:10" x14ac:dyDescent="0.25">
      <c r="A3" s="145"/>
      <c r="B3" s="146"/>
      <c r="C3" s="146"/>
      <c r="D3" s="146"/>
      <c r="E3" s="146"/>
      <c r="F3" s="146"/>
      <c r="G3" s="146"/>
      <c r="H3" s="146"/>
      <c r="I3" s="146"/>
      <c r="J3" s="21"/>
    </row>
    <row r="4" spans="1:10" x14ac:dyDescent="0.25">
      <c r="A4" s="145"/>
      <c r="B4" s="146"/>
      <c r="C4" s="146"/>
      <c r="D4" s="146"/>
      <c r="E4" s="146"/>
      <c r="F4" s="146"/>
      <c r="G4" s="146"/>
      <c r="H4" s="146"/>
      <c r="I4" s="146"/>
      <c r="J4" s="21"/>
    </row>
    <row r="5" spans="1:10" x14ac:dyDescent="0.25">
      <c r="A5" s="145"/>
      <c r="B5" s="146"/>
      <c r="C5" s="146"/>
      <c r="D5" s="146"/>
      <c r="E5" s="146"/>
      <c r="F5" s="146"/>
      <c r="G5" s="146"/>
      <c r="H5" s="146"/>
      <c r="I5" s="146"/>
      <c r="J5" s="21"/>
    </row>
    <row r="6" spans="1:10" ht="34.200000000000003" customHeight="1" thickBot="1" x14ac:dyDescent="0.3">
      <c r="A6" s="147"/>
      <c r="B6" s="148"/>
      <c r="C6" s="148"/>
      <c r="D6" s="148"/>
      <c r="E6" s="148"/>
      <c r="F6" s="148"/>
      <c r="G6" s="148"/>
      <c r="H6" s="148"/>
      <c r="I6" s="148"/>
      <c r="J6" s="21"/>
    </row>
    <row r="7" spans="1:10" ht="36" customHeight="1" thickBot="1" x14ac:dyDescent="0.3">
      <c r="A7" s="112" t="s">
        <v>21</v>
      </c>
      <c r="B7" s="113"/>
      <c r="C7" s="113"/>
      <c r="D7" s="113"/>
      <c r="E7" s="113"/>
      <c r="F7" s="113"/>
      <c r="G7" s="113"/>
      <c r="H7" s="113"/>
      <c r="I7" s="113"/>
      <c r="J7" s="114"/>
    </row>
    <row r="8" spans="1:10" ht="15.6" x14ac:dyDescent="0.25">
      <c r="A8" s="116" t="s">
        <v>26</v>
      </c>
      <c r="B8" s="117"/>
      <c r="C8" s="117"/>
      <c r="D8" s="118"/>
      <c r="E8" s="119" t="s">
        <v>0</v>
      </c>
      <c r="F8" s="120"/>
      <c r="G8" s="121" t="s">
        <v>65</v>
      </c>
      <c r="H8" s="122"/>
      <c r="I8" s="122"/>
      <c r="J8" s="50" t="s">
        <v>66</v>
      </c>
    </row>
    <row r="9" spans="1:10" ht="26.25" customHeight="1" x14ac:dyDescent="0.25">
      <c r="A9" s="123" t="s">
        <v>4</v>
      </c>
      <c r="B9" s="124"/>
      <c r="C9" s="124"/>
      <c r="D9" s="125"/>
      <c r="E9" s="162" t="s">
        <v>102</v>
      </c>
      <c r="F9" s="163"/>
      <c r="G9" s="2" t="s">
        <v>68</v>
      </c>
      <c r="H9" s="1" t="s">
        <v>1</v>
      </c>
      <c r="I9" s="19" t="s">
        <v>2</v>
      </c>
      <c r="J9" s="61"/>
    </row>
    <row r="10" spans="1:10" x14ac:dyDescent="0.25">
      <c r="A10" s="105" t="s">
        <v>5</v>
      </c>
      <c r="B10" s="106"/>
      <c r="C10" s="106"/>
      <c r="D10" s="107"/>
      <c r="E10" s="110" t="s">
        <v>3</v>
      </c>
      <c r="F10" s="111"/>
      <c r="G10" s="111"/>
      <c r="H10" s="111"/>
      <c r="I10" s="111"/>
      <c r="J10" s="34"/>
    </row>
    <row r="11" spans="1:10" x14ac:dyDescent="0.25">
      <c r="A11" s="105" t="s">
        <v>6</v>
      </c>
      <c r="B11" s="106"/>
      <c r="C11" s="106"/>
      <c r="D11" s="107"/>
      <c r="E11" s="126"/>
      <c r="F11" s="127"/>
      <c r="G11" s="128"/>
      <c r="H11" s="129"/>
      <c r="I11" s="129"/>
      <c r="J11" s="27"/>
    </row>
    <row r="12" spans="1:10" x14ac:dyDescent="0.25">
      <c r="A12" s="105" t="s">
        <v>7</v>
      </c>
      <c r="B12" s="106"/>
      <c r="C12" s="106"/>
      <c r="D12" s="107"/>
      <c r="E12" s="110" t="s">
        <v>15</v>
      </c>
      <c r="F12" s="111"/>
      <c r="G12" s="111"/>
      <c r="H12" s="111"/>
      <c r="I12" s="111"/>
      <c r="J12" s="26"/>
    </row>
    <row r="13" spans="1:10" x14ac:dyDescent="0.3">
      <c r="A13" s="105" t="s">
        <v>8</v>
      </c>
      <c r="B13" s="106"/>
      <c r="C13" s="106"/>
      <c r="D13" s="107"/>
      <c r="E13" s="108"/>
      <c r="F13" s="109"/>
      <c r="G13" s="109"/>
      <c r="H13" s="109"/>
      <c r="I13" s="109"/>
      <c r="J13" s="28"/>
    </row>
    <row r="14" spans="1:10" x14ac:dyDescent="0.25">
      <c r="A14" s="105" t="s">
        <v>34</v>
      </c>
      <c r="B14" s="106"/>
      <c r="C14" s="106"/>
      <c r="D14" s="107"/>
      <c r="E14" s="110" t="s">
        <v>30</v>
      </c>
      <c r="F14" s="111"/>
      <c r="G14" s="111"/>
      <c r="H14" s="111"/>
      <c r="I14" s="111"/>
      <c r="J14" s="26"/>
    </row>
    <row r="15" spans="1:10" x14ac:dyDescent="0.25">
      <c r="A15" s="105" t="s">
        <v>33</v>
      </c>
      <c r="B15" s="106"/>
      <c r="C15" s="106"/>
      <c r="D15" s="107"/>
      <c r="E15" s="110" t="s">
        <v>31</v>
      </c>
      <c r="F15" s="111"/>
      <c r="G15" s="111"/>
      <c r="H15" s="111"/>
      <c r="I15" s="111"/>
      <c r="J15" s="26"/>
    </row>
    <row r="16" spans="1:10" ht="15.6" x14ac:dyDescent="0.25">
      <c r="A16" s="130" t="s">
        <v>27</v>
      </c>
      <c r="B16" s="131"/>
      <c r="C16" s="131"/>
      <c r="D16" s="132"/>
      <c r="E16" s="110" t="s">
        <v>32</v>
      </c>
      <c r="F16" s="111"/>
      <c r="G16" s="111"/>
      <c r="H16" s="111"/>
      <c r="I16" s="111"/>
      <c r="J16" s="26"/>
    </row>
    <row r="17" spans="1:20" x14ac:dyDescent="0.25">
      <c r="A17" s="133" t="s">
        <v>39</v>
      </c>
      <c r="B17" s="111"/>
      <c r="C17" s="111"/>
      <c r="D17" s="134"/>
      <c r="E17" s="115"/>
      <c r="F17" s="106"/>
      <c r="G17" s="106"/>
      <c r="H17" s="106"/>
      <c r="I17" s="106"/>
      <c r="J17" s="29"/>
    </row>
    <row r="18" spans="1:20" x14ac:dyDescent="0.25">
      <c r="A18" s="105" t="s">
        <v>40</v>
      </c>
      <c r="B18" s="106"/>
      <c r="C18" s="106"/>
      <c r="D18" s="107"/>
      <c r="E18" s="115"/>
      <c r="F18" s="106"/>
      <c r="G18" s="106"/>
      <c r="H18" s="106"/>
      <c r="I18" s="106"/>
      <c r="J18" s="29"/>
    </row>
    <row r="19" spans="1:20" x14ac:dyDescent="0.25">
      <c r="A19" s="105" t="s">
        <v>41</v>
      </c>
      <c r="B19" s="106"/>
      <c r="C19" s="106"/>
      <c r="D19" s="107"/>
      <c r="E19" s="115"/>
      <c r="F19" s="106"/>
      <c r="G19" s="106"/>
      <c r="H19" s="106"/>
      <c r="I19" s="106"/>
      <c r="J19" s="29"/>
    </row>
    <row r="20" spans="1:20" x14ac:dyDescent="0.25">
      <c r="A20" s="105" t="s">
        <v>42</v>
      </c>
      <c r="B20" s="106"/>
      <c r="C20" s="106"/>
      <c r="D20" s="107"/>
      <c r="E20" s="115"/>
      <c r="F20" s="106"/>
      <c r="G20" s="106"/>
      <c r="H20" s="106"/>
      <c r="I20" s="106"/>
      <c r="J20" s="29"/>
    </row>
    <row r="21" spans="1:20" x14ac:dyDescent="0.25">
      <c r="A21" s="105" t="s">
        <v>43</v>
      </c>
      <c r="B21" s="106"/>
      <c r="C21" s="106"/>
      <c r="D21" s="107"/>
      <c r="E21" s="115"/>
      <c r="F21" s="106"/>
      <c r="G21" s="106"/>
      <c r="H21" s="106"/>
      <c r="I21" s="106"/>
      <c r="J21" s="29"/>
    </row>
    <row r="22" spans="1:20" x14ac:dyDescent="0.25">
      <c r="A22" s="105"/>
      <c r="B22" s="106"/>
      <c r="C22" s="106"/>
      <c r="D22" s="107"/>
      <c r="E22" s="135" t="s">
        <v>67</v>
      </c>
      <c r="F22" s="136"/>
      <c r="G22" s="110" t="s">
        <v>28</v>
      </c>
      <c r="H22" s="111"/>
      <c r="I22" s="111"/>
      <c r="J22" s="26"/>
    </row>
    <row r="23" spans="1:20" x14ac:dyDescent="0.25">
      <c r="A23" s="137"/>
      <c r="B23" s="138"/>
      <c r="C23" s="138"/>
      <c r="D23" s="139"/>
      <c r="E23" s="110" t="s">
        <v>16</v>
      </c>
      <c r="F23" s="134"/>
      <c r="G23" s="110" t="s">
        <v>22</v>
      </c>
      <c r="H23" s="111"/>
      <c r="I23" s="111"/>
      <c r="J23" s="26"/>
    </row>
    <row r="24" spans="1:20" x14ac:dyDescent="0.25">
      <c r="A24" s="140"/>
      <c r="B24" s="141"/>
      <c r="C24" s="141"/>
      <c r="D24" s="142"/>
      <c r="E24" s="110" t="s">
        <v>29</v>
      </c>
      <c r="F24" s="111"/>
      <c r="G24" s="111"/>
      <c r="H24" s="111"/>
      <c r="I24" s="111"/>
      <c r="J24" s="26"/>
    </row>
    <row r="25" spans="1:20" x14ac:dyDescent="0.25">
      <c r="A25" s="167" t="s">
        <v>9</v>
      </c>
      <c r="B25" s="168"/>
      <c r="C25" s="168"/>
      <c r="D25" s="169"/>
      <c r="E25" s="170" t="s">
        <v>23</v>
      </c>
      <c r="F25" s="171"/>
      <c r="G25" s="171"/>
      <c r="H25" s="172"/>
      <c r="I25" s="172"/>
      <c r="J25" s="30"/>
    </row>
    <row r="26" spans="1:20" ht="13.2" customHeight="1" x14ac:dyDescent="0.25">
      <c r="A26" s="173" t="s">
        <v>10</v>
      </c>
      <c r="B26" s="174"/>
      <c r="C26" s="110" t="s">
        <v>11</v>
      </c>
      <c r="D26" s="111"/>
      <c r="E26" s="175" t="s">
        <v>12</v>
      </c>
      <c r="F26" s="176"/>
      <c r="G26" s="177"/>
      <c r="H26" s="24"/>
      <c r="I26" s="24"/>
      <c r="J26" s="31"/>
    </row>
    <row r="27" spans="1:20" x14ac:dyDescent="0.3">
      <c r="A27" s="187"/>
      <c r="B27" s="188"/>
      <c r="C27" s="189" t="s">
        <v>35</v>
      </c>
      <c r="D27" s="190"/>
      <c r="E27" s="178"/>
      <c r="F27" s="179"/>
      <c r="G27" s="180"/>
      <c r="H27" s="25"/>
      <c r="I27" s="25"/>
      <c r="J27" s="22"/>
    </row>
    <row r="28" spans="1:20" ht="13.2" customHeight="1" x14ac:dyDescent="0.25">
      <c r="A28" s="133" t="s">
        <v>13</v>
      </c>
      <c r="B28" s="134"/>
      <c r="C28" s="110" t="s">
        <v>14</v>
      </c>
      <c r="D28" s="111"/>
      <c r="E28" s="181" t="s">
        <v>69</v>
      </c>
      <c r="F28" s="182"/>
      <c r="G28" s="183"/>
      <c r="H28" s="35"/>
      <c r="I28" s="35"/>
      <c r="J28" s="32"/>
    </row>
    <row r="29" spans="1:20" x14ac:dyDescent="0.3">
      <c r="A29" s="187"/>
      <c r="B29" s="188"/>
      <c r="C29" s="110" t="s">
        <v>22</v>
      </c>
      <c r="D29" s="111"/>
      <c r="E29" s="184"/>
      <c r="F29" s="185"/>
      <c r="G29" s="186"/>
      <c r="H29" s="36"/>
      <c r="I29" s="36"/>
      <c r="J29" s="23"/>
    </row>
    <row r="30" spans="1:20" ht="14.4" thickBot="1" x14ac:dyDescent="0.3">
      <c r="A30" s="164"/>
      <c r="B30" s="165"/>
      <c r="C30" s="165"/>
      <c r="D30" s="165"/>
      <c r="E30" s="166"/>
      <c r="F30" s="166"/>
      <c r="G30" s="166"/>
      <c r="H30" s="165"/>
      <c r="I30" s="165"/>
      <c r="J30" s="33"/>
    </row>
    <row r="31" spans="1:20" s="3" customFormat="1" x14ac:dyDescent="0.25">
      <c r="A31" s="74" t="s">
        <v>45</v>
      </c>
      <c r="B31" s="37" t="s">
        <v>46</v>
      </c>
      <c r="C31" s="37" t="s">
        <v>47</v>
      </c>
      <c r="D31" s="38" t="s">
        <v>48</v>
      </c>
      <c r="E31" s="37" t="s">
        <v>49</v>
      </c>
      <c r="F31" s="83" t="s">
        <v>50</v>
      </c>
      <c r="G31" s="84"/>
      <c r="H31" s="39" t="s">
        <v>64</v>
      </c>
      <c r="I31" s="37" t="s">
        <v>51</v>
      </c>
      <c r="J31" s="37" t="s">
        <v>52</v>
      </c>
      <c r="K31" s="40" t="s">
        <v>53</v>
      </c>
      <c r="L31" s="40" t="s">
        <v>54</v>
      </c>
      <c r="M31" s="41" t="s">
        <v>55</v>
      </c>
      <c r="N31" s="41" t="s">
        <v>56</v>
      </c>
      <c r="O31" s="38" t="s">
        <v>57</v>
      </c>
      <c r="P31" s="38" t="s">
        <v>58</v>
      </c>
      <c r="Q31" s="38" t="s">
        <v>59</v>
      </c>
      <c r="R31" s="42" t="s">
        <v>60</v>
      </c>
      <c r="T31" s="3" t="s">
        <v>61</v>
      </c>
    </row>
    <row r="32" spans="1:20" s="7" customFormat="1" x14ac:dyDescent="0.3">
      <c r="A32" s="75">
        <v>1</v>
      </c>
      <c r="B32" s="70" t="s">
        <v>70</v>
      </c>
      <c r="C32" s="5" t="s">
        <v>71</v>
      </c>
      <c r="D32" s="82" t="s">
        <v>72</v>
      </c>
      <c r="E32" s="6">
        <v>304</v>
      </c>
      <c r="F32" s="85" t="s">
        <v>73</v>
      </c>
      <c r="G32" s="86"/>
      <c r="H32" s="5" t="s">
        <v>63</v>
      </c>
      <c r="I32" s="71">
        <v>738</v>
      </c>
      <c r="J32" s="5">
        <f t="shared" ref="J32:J46" si="0">I32/6</f>
        <v>123</v>
      </c>
      <c r="K32" s="72">
        <v>0.84</v>
      </c>
      <c r="L32" s="72">
        <f t="shared" ref="L32:L46" si="1">K32*I32</f>
        <v>619.91999999999996</v>
      </c>
      <c r="M32" s="73">
        <v>0.34155000000000002</v>
      </c>
      <c r="N32" s="73">
        <f t="shared" ref="N32:N46" si="2">M32*I32</f>
        <v>252.06390000000002</v>
      </c>
      <c r="O32" s="5">
        <v>73064000</v>
      </c>
      <c r="P32" s="60" t="s">
        <v>106</v>
      </c>
      <c r="Q32" s="4"/>
      <c r="R32" s="43" t="s">
        <v>62</v>
      </c>
    </row>
    <row r="33" spans="1:2574" s="12" customFormat="1" ht="15.6" x14ac:dyDescent="0.3">
      <c r="A33" s="75">
        <v>2</v>
      </c>
      <c r="B33" s="70" t="s">
        <v>74</v>
      </c>
      <c r="C33" s="5" t="s">
        <v>71</v>
      </c>
      <c r="D33" s="82" t="s">
        <v>72</v>
      </c>
      <c r="E33" s="6">
        <v>304</v>
      </c>
      <c r="F33" s="85" t="s">
        <v>88</v>
      </c>
      <c r="G33" s="86"/>
      <c r="H33" s="5" t="s">
        <v>63</v>
      </c>
      <c r="I33" s="71">
        <v>474</v>
      </c>
      <c r="J33" s="5">
        <f t="shared" si="0"/>
        <v>79</v>
      </c>
      <c r="K33" s="72">
        <v>1.31</v>
      </c>
      <c r="L33" s="72">
        <f t="shared" si="1"/>
        <v>620.94000000000005</v>
      </c>
      <c r="M33" s="73">
        <v>0.53014500000000009</v>
      </c>
      <c r="N33" s="73">
        <f t="shared" si="2"/>
        <v>251.28873000000004</v>
      </c>
      <c r="O33" s="5">
        <v>73064000</v>
      </c>
      <c r="P33" s="60" t="s">
        <v>106</v>
      </c>
      <c r="Q33" s="4"/>
      <c r="R33" s="43" t="s">
        <v>62</v>
      </c>
      <c r="S33" s="63"/>
      <c r="T33" s="10"/>
      <c r="U33" s="10"/>
      <c r="V33" s="10"/>
      <c r="W33" s="10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</row>
    <row r="34" spans="1:2574" s="11" customFormat="1" ht="15.6" customHeight="1" x14ac:dyDescent="0.3">
      <c r="A34" s="75">
        <v>3</v>
      </c>
      <c r="B34" s="70" t="s">
        <v>75</v>
      </c>
      <c r="C34" s="5" t="s">
        <v>71</v>
      </c>
      <c r="D34" s="82" t="s">
        <v>72</v>
      </c>
      <c r="E34" s="6">
        <v>304</v>
      </c>
      <c r="F34" s="85" t="s">
        <v>89</v>
      </c>
      <c r="G34" s="86"/>
      <c r="H34" s="5" t="s">
        <v>63</v>
      </c>
      <c r="I34" s="71">
        <v>1080</v>
      </c>
      <c r="J34" s="5">
        <f t="shared" si="0"/>
        <v>180</v>
      </c>
      <c r="K34" s="72">
        <v>1.78</v>
      </c>
      <c r="L34" s="72">
        <f t="shared" si="1"/>
        <v>1922.4</v>
      </c>
      <c r="M34" s="73">
        <v>0.71874000000000005</v>
      </c>
      <c r="N34" s="73">
        <f t="shared" si="2"/>
        <v>776.2392000000001</v>
      </c>
      <c r="O34" s="5">
        <v>73064000</v>
      </c>
      <c r="P34" s="60" t="s">
        <v>106</v>
      </c>
      <c r="Q34" s="4"/>
      <c r="R34" s="43" t="s">
        <v>62</v>
      </c>
      <c r="S34" s="64"/>
      <c r="T34" s="13"/>
      <c r="U34" s="13"/>
      <c r="V34" s="13"/>
      <c r="W34" s="13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/>
      <c r="AQV34" s="9"/>
      <c r="AQW34" s="9"/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/>
      <c r="AWZ34" s="9"/>
      <c r="AXA34" s="9"/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  <c r="BKI34" s="9"/>
      <c r="BKJ34" s="9"/>
      <c r="BKK34" s="9"/>
      <c r="BKL34" s="9"/>
      <c r="BKM34" s="9"/>
      <c r="BKN34" s="9"/>
      <c r="BKO34" s="9"/>
      <c r="BKP34" s="9"/>
      <c r="BKQ34" s="9"/>
      <c r="BKR34" s="9"/>
      <c r="BKS34" s="9"/>
      <c r="BKT34" s="9"/>
      <c r="BKU34" s="9"/>
      <c r="BKV34" s="9"/>
      <c r="BKW34" s="9"/>
      <c r="BKX34" s="9"/>
      <c r="BKY34" s="9"/>
      <c r="BKZ34" s="9"/>
      <c r="BLA34" s="9"/>
      <c r="BLB34" s="9"/>
      <c r="BLC34" s="9"/>
      <c r="BLD34" s="9"/>
      <c r="BLE34" s="9"/>
      <c r="BLF34" s="9"/>
      <c r="BLG34" s="9"/>
      <c r="BLH34" s="9"/>
      <c r="BLI34" s="9"/>
      <c r="BLJ34" s="9"/>
      <c r="BLK34" s="9"/>
      <c r="BLL34" s="9"/>
      <c r="BLM34" s="9"/>
      <c r="BLN34" s="9"/>
      <c r="BLO34" s="9"/>
      <c r="BLP34" s="9"/>
      <c r="BLQ34" s="9"/>
      <c r="BLR34" s="9"/>
      <c r="BLS34" s="9"/>
      <c r="BLT34" s="9"/>
      <c r="BLU34" s="9"/>
      <c r="BLV34" s="9"/>
      <c r="BLW34" s="9"/>
      <c r="BLX34" s="9"/>
      <c r="BLY34" s="9"/>
      <c r="BLZ34" s="9"/>
      <c r="BMA34" s="9"/>
      <c r="BMB34" s="9"/>
      <c r="BMC34" s="9"/>
      <c r="BMD34" s="9"/>
      <c r="BME34" s="9"/>
      <c r="BMF34" s="9"/>
      <c r="BMG34" s="9"/>
      <c r="BMH34" s="9"/>
      <c r="BMI34" s="9"/>
      <c r="BMJ34" s="9"/>
      <c r="BMK34" s="9"/>
      <c r="BML34" s="9"/>
      <c r="BMM34" s="9"/>
      <c r="BMN34" s="9"/>
      <c r="BMO34" s="9"/>
      <c r="BMP34" s="9"/>
      <c r="BMQ34" s="9"/>
      <c r="BMR34" s="9"/>
      <c r="BMS34" s="9"/>
      <c r="BMT34" s="9"/>
      <c r="BMU34" s="9"/>
      <c r="BMV34" s="9"/>
      <c r="BMW34" s="9"/>
      <c r="BMX34" s="9"/>
      <c r="BMY34" s="9"/>
      <c r="BMZ34" s="9"/>
      <c r="BNA34" s="9"/>
      <c r="BNB34" s="9"/>
      <c r="BNC34" s="9"/>
      <c r="BND34" s="9"/>
      <c r="BNE34" s="9"/>
      <c r="BNF34" s="9"/>
      <c r="BNG34" s="9"/>
      <c r="BNH34" s="9"/>
      <c r="BNI34" s="9"/>
      <c r="BNJ34" s="9"/>
      <c r="BNK34" s="9"/>
      <c r="BNL34" s="9"/>
      <c r="BNM34" s="9"/>
      <c r="BNN34" s="9"/>
      <c r="BNO34" s="9"/>
      <c r="BNP34" s="9"/>
      <c r="BNQ34" s="9"/>
      <c r="BNR34" s="9"/>
      <c r="BNS34" s="9"/>
      <c r="BNT34" s="9"/>
      <c r="BNU34" s="9"/>
      <c r="BNV34" s="9"/>
      <c r="BNW34" s="9"/>
      <c r="BNX34" s="9"/>
      <c r="BNY34" s="9"/>
      <c r="BNZ34" s="9"/>
      <c r="BOA34" s="9"/>
      <c r="BOB34" s="9"/>
      <c r="BOC34" s="9"/>
      <c r="BOD34" s="9"/>
      <c r="BOE34" s="9"/>
      <c r="BOF34" s="9"/>
      <c r="BOG34" s="9"/>
      <c r="BOH34" s="9"/>
      <c r="BOI34" s="9"/>
      <c r="BOJ34" s="9"/>
      <c r="BOK34" s="9"/>
      <c r="BOL34" s="9"/>
      <c r="BOM34" s="9"/>
      <c r="BON34" s="9"/>
      <c r="BOO34" s="9"/>
      <c r="BOP34" s="9"/>
      <c r="BOQ34" s="9"/>
      <c r="BOR34" s="9"/>
      <c r="BOS34" s="9"/>
      <c r="BOT34" s="9"/>
      <c r="BOU34" s="9"/>
      <c r="BOV34" s="9"/>
      <c r="BOW34" s="9"/>
      <c r="BOX34" s="9"/>
      <c r="BOY34" s="9"/>
      <c r="BOZ34" s="9"/>
      <c r="BPA34" s="9"/>
      <c r="BPB34" s="9"/>
      <c r="BPC34" s="9"/>
      <c r="BPD34" s="9"/>
      <c r="BPE34" s="9"/>
      <c r="BPF34" s="9"/>
      <c r="BPG34" s="9"/>
      <c r="BPH34" s="9"/>
      <c r="BPI34" s="9"/>
      <c r="BPJ34" s="9"/>
      <c r="BPK34" s="9"/>
      <c r="BPL34" s="9"/>
      <c r="BPM34" s="9"/>
      <c r="BPN34" s="9"/>
      <c r="BPO34" s="9"/>
      <c r="BPP34" s="9"/>
      <c r="BPQ34" s="9"/>
      <c r="BPR34" s="9"/>
      <c r="BPS34" s="9"/>
      <c r="BPT34" s="9"/>
      <c r="BPU34" s="9"/>
      <c r="BPV34" s="9"/>
      <c r="BPW34" s="9"/>
      <c r="BPX34" s="9"/>
      <c r="BPY34" s="9"/>
      <c r="BPZ34" s="9"/>
      <c r="BQA34" s="9"/>
      <c r="BQB34" s="9"/>
      <c r="BQC34" s="9"/>
      <c r="BQD34" s="9"/>
      <c r="BQE34" s="9"/>
      <c r="BQF34" s="9"/>
      <c r="BQG34" s="9"/>
      <c r="BQH34" s="9"/>
      <c r="BQI34" s="9"/>
      <c r="BQJ34" s="9"/>
      <c r="BQK34" s="9"/>
      <c r="BQL34" s="9"/>
      <c r="BQM34" s="9"/>
      <c r="BQN34" s="9"/>
      <c r="BQO34" s="9"/>
      <c r="BQP34" s="9"/>
      <c r="BQQ34" s="9"/>
      <c r="BQR34" s="9"/>
      <c r="BQS34" s="9"/>
      <c r="BQT34" s="9"/>
      <c r="BQU34" s="9"/>
      <c r="BQV34" s="9"/>
      <c r="BQW34" s="9"/>
      <c r="BQX34" s="9"/>
      <c r="BQY34" s="9"/>
      <c r="BQZ34" s="9"/>
      <c r="BRA34" s="9"/>
      <c r="BRB34" s="9"/>
      <c r="BRC34" s="9"/>
      <c r="BRD34" s="9"/>
      <c r="BRE34" s="9"/>
      <c r="BRF34" s="9"/>
      <c r="BRG34" s="9"/>
      <c r="BRH34" s="9"/>
      <c r="BRI34" s="9"/>
      <c r="BRJ34" s="9"/>
      <c r="BRK34" s="9"/>
      <c r="BRL34" s="9"/>
      <c r="BRM34" s="9"/>
      <c r="BRN34" s="9"/>
      <c r="BRO34" s="9"/>
      <c r="BRP34" s="9"/>
      <c r="BRQ34" s="9"/>
      <c r="BRR34" s="9"/>
      <c r="BRS34" s="9"/>
      <c r="BRT34" s="9"/>
      <c r="BRU34" s="9"/>
      <c r="BRV34" s="9"/>
      <c r="BRW34" s="9"/>
      <c r="BRX34" s="9"/>
      <c r="BRY34" s="9"/>
      <c r="BRZ34" s="9"/>
      <c r="BSA34" s="9"/>
      <c r="BSB34" s="9"/>
      <c r="BSC34" s="9"/>
      <c r="BSD34" s="9"/>
      <c r="BSE34" s="9"/>
      <c r="BSF34" s="9"/>
      <c r="BSG34" s="9"/>
      <c r="BSH34" s="9"/>
      <c r="BSI34" s="9"/>
      <c r="BSJ34" s="9"/>
      <c r="BSK34" s="9"/>
      <c r="BSL34" s="9"/>
      <c r="BSM34" s="9"/>
      <c r="BSN34" s="9"/>
      <c r="BSO34" s="9"/>
      <c r="BSP34" s="9"/>
      <c r="BSQ34" s="9"/>
      <c r="BSR34" s="9"/>
      <c r="BSS34" s="9"/>
      <c r="BST34" s="9"/>
      <c r="BSU34" s="9"/>
      <c r="BSV34" s="9"/>
      <c r="BSW34" s="9"/>
      <c r="BSX34" s="9"/>
      <c r="BSY34" s="9"/>
      <c r="BSZ34" s="9"/>
      <c r="BTA34" s="9"/>
      <c r="BTB34" s="9"/>
      <c r="BTC34" s="9"/>
      <c r="BTD34" s="9"/>
      <c r="BTE34" s="9"/>
      <c r="BTF34" s="9"/>
      <c r="BTG34" s="9"/>
      <c r="BTH34" s="9"/>
      <c r="BTI34" s="9"/>
      <c r="BTJ34" s="9"/>
      <c r="BTK34" s="9"/>
      <c r="BTL34" s="9"/>
      <c r="BTM34" s="9"/>
      <c r="BTN34" s="9"/>
      <c r="BTO34" s="9"/>
      <c r="BTP34" s="9"/>
      <c r="BTQ34" s="9"/>
      <c r="BTR34" s="9"/>
      <c r="BTS34" s="9"/>
      <c r="BTT34" s="9"/>
      <c r="BTU34" s="9"/>
      <c r="BTV34" s="9"/>
      <c r="BTW34" s="9"/>
      <c r="BTX34" s="9"/>
      <c r="BTY34" s="9"/>
      <c r="BTZ34" s="9"/>
      <c r="BUA34" s="9"/>
      <c r="BUB34" s="9"/>
      <c r="BUC34" s="9"/>
      <c r="BUD34" s="9"/>
      <c r="BUE34" s="9"/>
      <c r="BUF34" s="9"/>
      <c r="BUG34" s="9"/>
      <c r="BUH34" s="9"/>
      <c r="BUI34" s="9"/>
      <c r="BUJ34" s="9"/>
      <c r="BUK34" s="9"/>
      <c r="BUL34" s="9"/>
      <c r="BUM34" s="9"/>
      <c r="BUN34" s="9"/>
      <c r="BUO34" s="9"/>
      <c r="BUP34" s="9"/>
      <c r="BUQ34" s="9"/>
      <c r="BUR34" s="9"/>
      <c r="BUS34" s="9"/>
      <c r="BUT34" s="9"/>
      <c r="BUU34" s="9"/>
      <c r="BUV34" s="9"/>
      <c r="BUW34" s="9"/>
      <c r="BUX34" s="9"/>
      <c r="BUY34" s="9"/>
      <c r="BUZ34" s="9"/>
      <c r="BVA34" s="9"/>
      <c r="BVB34" s="9"/>
      <c r="BVC34" s="9"/>
      <c r="BVD34" s="9"/>
      <c r="BVE34" s="9"/>
      <c r="BVF34" s="9"/>
      <c r="BVG34" s="9"/>
      <c r="BVH34" s="9"/>
      <c r="BVI34" s="9"/>
      <c r="BVJ34" s="9"/>
      <c r="BVK34" s="9"/>
      <c r="BVL34" s="9"/>
      <c r="BVM34" s="9"/>
      <c r="BVN34" s="9"/>
      <c r="BVO34" s="9"/>
      <c r="BVP34" s="9"/>
      <c r="BVQ34" s="9"/>
      <c r="BVR34" s="9"/>
      <c r="BVS34" s="9"/>
      <c r="BVT34" s="9"/>
      <c r="BVU34" s="9"/>
      <c r="BVV34" s="9"/>
      <c r="BVW34" s="9"/>
      <c r="BVX34" s="9"/>
      <c r="BVY34" s="9"/>
      <c r="BVZ34" s="9"/>
      <c r="BWA34" s="9"/>
      <c r="BWB34" s="9"/>
      <c r="BWC34" s="9"/>
      <c r="BWD34" s="9"/>
      <c r="BWE34" s="9"/>
      <c r="BWF34" s="9"/>
      <c r="BWG34" s="9"/>
      <c r="BWH34" s="9"/>
      <c r="BWI34" s="9"/>
      <c r="BWJ34" s="9"/>
      <c r="BWK34" s="9"/>
      <c r="BWL34" s="9"/>
      <c r="BWM34" s="9"/>
      <c r="BWN34" s="9"/>
      <c r="BWO34" s="9"/>
      <c r="BWP34" s="9"/>
      <c r="BWQ34" s="9"/>
      <c r="BWR34" s="9"/>
      <c r="BWS34" s="9"/>
      <c r="BWT34" s="9"/>
      <c r="BWU34" s="9"/>
      <c r="BWV34" s="9"/>
      <c r="BWW34" s="9"/>
      <c r="BWX34" s="9"/>
      <c r="BWY34" s="9"/>
      <c r="BWZ34" s="9"/>
      <c r="BXA34" s="9"/>
      <c r="BXB34" s="9"/>
      <c r="BXC34" s="9"/>
      <c r="BXD34" s="9"/>
      <c r="BXE34" s="9"/>
      <c r="BXF34" s="9"/>
      <c r="BXG34" s="9"/>
      <c r="BXH34" s="9"/>
      <c r="BXI34" s="9"/>
      <c r="BXJ34" s="9"/>
      <c r="BXK34" s="9"/>
      <c r="BXL34" s="9"/>
      <c r="BXM34" s="9"/>
      <c r="BXN34" s="9"/>
      <c r="BXO34" s="9"/>
      <c r="BXP34" s="9"/>
      <c r="BXQ34" s="9"/>
      <c r="BXR34" s="9"/>
      <c r="BXS34" s="9"/>
      <c r="BXT34" s="9"/>
      <c r="BXU34" s="9"/>
      <c r="BXV34" s="9"/>
      <c r="BXW34" s="9"/>
      <c r="BXX34" s="9"/>
      <c r="BXY34" s="9"/>
      <c r="BXZ34" s="9"/>
      <c r="BYA34" s="9"/>
      <c r="BYB34" s="9"/>
      <c r="BYC34" s="9"/>
      <c r="BYD34" s="9"/>
      <c r="BYE34" s="9"/>
      <c r="BYF34" s="9"/>
      <c r="BYG34" s="9"/>
      <c r="BYH34" s="9"/>
      <c r="BYI34" s="9"/>
      <c r="BYJ34" s="9"/>
      <c r="BYK34" s="9"/>
      <c r="BYL34" s="9"/>
      <c r="BYM34" s="9"/>
      <c r="BYN34" s="9"/>
      <c r="BYO34" s="9"/>
      <c r="BYP34" s="9"/>
      <c r="BYQ34" s="9"/>
      <c r="BYR34" s="9"/>
      <c r="BYS34" s="9"/>
      <c r="BYT34" s="9"/>
      <c r="BYU34" s="9"/>
      <c r="BYV34" s="9"/>
      <c r="BYW34" s="9"/>
      <c r="BYX34" s="9"/>
      <c r="BYY34" s="9"/>
      <c r="BYZ34" s="9"/>
      <c r="BZA34" s="9"/>
      <c r="BZB34" s="9"/>
      <c r="BZC34" s="9"/>
      <c r="BZD34" s="9"/>
      <c r="BZE34" s="9"/>
      <c r="BZF34" s="9"/>
      <c r="BZG34" s="9"/>
      <c r="BZH34" s="9"/>
      <c r="BZI34" s="9"/>
      <c r="BZJ34" s="9"/>
      <c r="BZK34" s="9"/>
      <c r="BZL34" s="9"/>
      <c r="BZM34" s="9"/>
      <c r="BZN34" s="9"/>
      <c r="BZO34" s="9"/>
      <c r="BZP34" s="9"/>
      <c r="BZQ34" s="9"/>
      <c r="BZR34" s="9"/>
      <c r="BZS34" s="9"/>
      <c r="BZT34" s="9"/>
      <c r="BZU34" s="9"/>
      <c r="BZV34" s="9"/>
      <c r="BZW34" s="9"/>
      <c r="BZX34" s="9"/>
      <c r="BZY34" s="9"/>
      <c r="BZZ34" s="9"/>
      <c r="CAA34" s="9"/>
      <c r="CAB34" s="9"/>
      <c r="CAC34" s="9"/>
      <c r="CAD34" s="9"/>
      <c r="CAE34" s="9"/>
      <c r="CAF34" s="9"/>
      <c r="CAG34" s="9"/>
      <c r="CAH34" s="9"/>
      <c r="CAI34" s="9"/>
      <c r="CAJ34" s="9"/>
      <c r="CAK34" s="9"/>
      <c r="CAL34" s="9"/>
      <c r="CAM34" s="9"/>
      <c r="CAN34" s="9"/>
      <c r="CAO34" s="9"/>
      <c r="CAP34" s="9"/>
      <c r="CAQ34" s="9"/>
      <c r="CAR34" s="9"/>
      <c r="CAS34" s="9"/>
      <c r="CAT34" s="9"/>
      <c r="CAU34" s="9"/>
      <c r="CAV34" s="9"/>
      <c r="CAW34" s="9"/>
      <c r="CAX34" s="9"/>
      <c r="CAY34" s="9"/>
      <c r="CAZ34" s="9"/>
      <c r="CBA34" s="9"/>
      <c r="CBB34" s="9"/>
      <c r="CBC34" s="9"/>
      <c r="CBD34" s="9"/>
      <c r="CBE34" s="9"/>
      <c r="CBF34" s="9"/>
      <c r="CBG34" s="9"/>
      <c r="CBH34" s="9"/>
      <c r="CBI34" s="9"/>
      <c r="CBJ34" s="9"/>
      <c r="CBK34" s="9"/>
      <c r="CBL34" s="9"/>
      <c r="CBM34" s="9"/>
      <c r="CBN34" s="9"/>
      <c r="CBO34" s="9"/>
      <c r="CBP34" s="9"/>
      <c r="CBQ34" s="9"/>
      <c r="CBR34" s="9"/>
      <c r="CBS34" s="9"/>
      <c r="CBT34" s="9"/>
      <c r="CBU34" s="9"/>
      <c r="CBV34" s="9"/>
      <c r="CBW34" s="9"/>
      <c r="CBX34" s="9"/>
      <c r="CBY34" s="9"/>
      <c r="CBZ34" s="9"/>
      <c r="CCA34" s="9"/>
      <c r="CCB34" s="9"/>
      <c r="CCC34" s="9"/>
      <c r="CCD34" s="9"/>
      <c r="CCE34" s="9"/>
      <c r="CCF34" s="9"/>
      <c r="CCG34" s="9"/>
      <c r="CCH34" s="9"/>
      <c r="CCI34" s="9"/>
      <c r="CCJ34" s="9"/>
      <c r="CCK34" s="9"/>
      <c r="CCL34" s="9"/>
      <c r="CCM34" s="9"/>
      <c r="CCN34" s="9"/>
      <c r="CCO34" s="9"/>
      <c r="CCP34" s="9"/>
      <c r="CCQ34" s="9"/>
      <c r="CCR34" s="9"/>
      <c r="CCS34" s="9"/>
      <c r="CCT34" s="9"/>
      <c r="CCU34" s="9"/>
      <c r="CCV34" s="9"/>
      <c r="CCW34" s="9"/>
      <c r="CCX34" s="9"/>
      <c r="CCY34" s="9"/>
      <c r="CCZ34" s="9"/>
      <c r="CDA34" s="9"/>
      <c r="CDB34" s="9"/>
      <c r="CDC34" s="9"/>
      <c r="CDD34" s="9"/>
      <c r="CDE34" s="9"/>
      <c r="CDF34" s="9"/>
      <c r="CDG34" s="9"/>
      <c r="CDH34" s="9"/>
      <c r="CDI34" s="9"/>
      <c r="CDJ34" s="9"/>
      <c r="CDK34" s="9"/>
      <c r="CDL34" s="9"/>
      <c r="CDM34" s="9"/>
      <c r="CDN34" s="9"/>
      <c r="CDO34" s="9"/>
      <c r="CDP34" s="9"/>
      <c r="CDQ34" s="9"/>
      <c r="CDR34" s="9"/>
      <c r="CDS34" s="9"/>
      <c r="CDT34" s="9"/>
      <c r="CDU34" s="9"/>
      <c r="CDV34" s="9"/>
      <c r="CDW34" s="9"/>
      <c r="CDX34" s="9"/>
      <c r="CDY34" s="9"/>
      <c r="CDZ34" s="9"/>
      <c r="CEA34" s="9"/>
      <c r="CEB34" s="9"/>
      <c r="CEC34" s="9"/>
      <c r="CED34" s="9"/>
      <c r="CEE34" s="9"/>
      <c r="CEF34" s="9"/>
      <c r="CEG34" s="9"/>
      <c r="CEH34" s="9"/>
      <c r="CEI34" s="9"/>
      <c r="CEJ34" s="9"/>
      <c r="CEK34" s="9"/>
      <c r="CEL34" s="9"/>
      <c r="CEM34" s="9"/>
      <c r="CEN34" s="9"/>
      <c r="CEO34" s="9"/>
      <c r="CEP34" s="9"/>
      <c r="CEQ34" s="9"/>
      <c r="CER34" s="9"/>
      <c r="CES34" s="9"/>
      <c r="CET34" s="9"/>
      <c r="CEU34" s="9"/>
      <c r="CEV34" s="9"/>
      <c r="CEW34" s="9"/>
      <c r="CEX34" s="9"/>
      <c r="CEY34" s="9"/>
      <c r="CEZ34" s="9"/>
      <c r="CFA34" s="9"/>
      <c r="CFB34" s="9"/>
      <c r="CFC34" s="9"/>
      <c r="CFD34" s="9"/>
      <c r="CFE34" s="9"/>
      <c r="CFF34" s="9"/>
      <c r="CFG34" s="9"/>
      <c r="CFH34" s="9"/>
      <c r="CFI34" s="9"/>
      <c r="CFJ34" s="9"/>
      <c r="CFK34" s="9"/>
      <c r="CFL34" s="9"/>
      <c r="CFM34" s="9"/>
      <c r="CFN34" s="9"/>
      <c r="CFO34" s="9"/>
      <c r="CFP34" s="9"/>
      <c r="CFQ34" s="9"/>
      <c r="CFR34" s="9"/>
      <c r="CFS34" s="9"/>
      <c r="CFT34" s="9"/>
      <c r="CFU34" s="9"/>
      <c r="CFV34" s="9"/>
      <c r="CFW34" s="9"/>
      <c r="CFX34" s="9"/>
      <c r="CFY34" s="9"/>
      <c r="CFZ34" s="9"/>
      <c r="CGA34" s="9"/>
      <c r="CGB34" s="9"/>
      <c r="CGC34" s="9"/>
      <c r="CGD34" s="9"/>
      <c r="CGE34" s="9"/>
      <c r="CGF34" s="9"/>
      <c r="CGG34" s="9"/>
      <c r="CGH34" s="9"/>
      <c r="CGI34" s="9"/>
      <c r="CGJ34" s="9"/>
      <c r="CGK34" s="9"/>
      <c r="CGL34" s="9"/>
      <c r="CGM34" s="9"/>
      <c r="CGN34" s="9"/>
      <c r="CGO34" s="9"/>
      <c r="CGP34" s="9"/>
      <c r="CGQ34" s="9"/>
      <c r="CGR34" s="9"/>
      <c r="CGS34" s="9"/>
      <c r="CGT34" s="9"/>
      <c r="CGU34" s="9"/>
      <c r="CGV34" s="9"/>
      <c r="CGW34" s="9"/>
      <c r="CGX34" s="9"/>
      <c r="CGY34" s="9"/>
      <c r="CGZ34" s="9"/>
      <c r="CHA34" s="9"/>
      <c r="CHB34" s="9"/>
      <c r="CHC34" s="9"/>
      <c r="CHD34" s="9"/>
      <c r="CHE34" s="9"/>
      <c r="CHF34" s="9"/>
      <c r="CHG34" s="9"/>
      <c r="CHH34" s="9"/>
      <c r="CHI34" s="9"/>
      <c r="CHJ34" s="9"/>
      <c r="CHK34" s="9"/>
      <c r="CHL34" s="9"/>
      <c r="CHM34" s="9"/>
      <c r="CHN34" s="9"/>
      <c r="CHO34" s="9"/>
      <c r="CHP34" s="9"/>
      <c r="CHQ34" s="9"/>
      <c r="CHR34" s="9"/>
      <c r="CHS34" s="9"/>
      <c r="CHT34" s="9"/>
      <c r="CHU34" s="9"/>
      <c r="CHV34" s="9"/>
      <c r="CHW34" s="9"/>
      <c r="CHX34" s="9"/>
      <c r="CHY34" s="9"/>
      <c r="CHZ34" s="9"/>
      <c r="CIA34" s="9"/>
      <c r="CIB34" s="9"/>
      <c r="CIC34" s="9"/>
      <c r="CID34" s="9"/>
      <c r="CIE34" s="9"/>
      <c r="CIF34" s="9"/>
      <c r="CIG34" s="9"/>
      <c r="CIH34" s="9"/>
      <c r="CII34" s="9"/>
      <c r="CIJ34" s="9"/>
      <c r="CIK34" s="9"/>
      <c r="CIL34" s="9"/>
      <c r="CIM34" s="9"/>
      <c r="CIN34" s="9"/>
      <c r="CIO34" s="9"/>
      <c r="CIP34" s="9"/>
      <c r="CIQ34" s="9"/>
      <c r="CIR34" s="9"/>
      <c r="CIS34" s="9"/>
      <c r="CIT34" s="9"/>
      <c r="CIU34" s="9"/>
      <c r="CIV34" s="9"/>
      <c r="CIW34" s="9"/>
      <c r="CIX34" s="9"/>
      <c r="CIY34" s="9"/>
      <c r="CIZ34" s="9"/>
      <c r="CJA34" s="9"/>
      <c r="CJB34" s="9"/>
      <c r="CJC34" s="9"/>
      <c r="CJD34" s="9"/>
      <c r="CJE34" s="9"/>
      <c r="CJF34" s="9"/>
      <c r="CJG34" s="9"/>
      <c r="CJH34" s="9"/>
      <c r="CJI34" s="9"/>
      <c r="CJJ34" s="9"/>
      <c r="CJK34" s="9"/>
      <c r="CJL34" s="9"/>
      <c r="CJM34" s="9"/>
      <c r="CJN34" s="9"/>
      <c r="CJO34" s="9"/>
      <c r="CJP34" s="9"/>
      <c r="CJQ34" s="9"/>
      <c r="CJR34" s="9"/>
      <c r="CJS34" s="9"/>
      <c r="CJT34" s="9"/>
      <c r="CJU34" s="9"/>
      <c r="CJV34" s="9"/>
      <c r="CJW34" s="9"/>
      <c r="CJX34" s="9"/>
      <c r="CJY34" s="9"/>
      <c r="CJZ34" s="9"/>
      <c r="CKA34" s="9"/>
      <c r="CKB34" s="9"/>
      <c r="CKC34" s="9"/>
      <c r="CKD34" s="9"/>
      <c r="CKE34" s="9"/>
      <c r="CKF34" s="9"/>
      <c r="CKG34" s="9"/>
      <c r="CKH34" s="9"/>
      <c r="CKI34" s="9"/>
      <c r="CKJ34" s="9"/>
      <c r="CKK34" s="9"/>
      <c r="CKL34" s="9"/>
      <c r="CKM34" s="9"/>
      <c r="CKN34" s="9"/>
      <c r="CKO34" s="9"/>
      <c r="CKP34" s="9"/>
      <c r="CKQ34" s="9"/>
      <c r="CKR34" s="9"/>
      <c r="CKS34" s="9"/>
      <c r="CKT34" s="9"/>
      <c r="CKU34" s="9"/>
      <c r="CKV34" s="9"/>
      <c r="CKW34" s="9"/>
      <c r="CKX34" s="9"/>
      <c r="CKY34" s="9"/>
      <c r="CKZ34" s="9"/>
      <c r="CLA34" s="9"/>
      <c r="CLB34" s="9"/>
      <c r="CLC34" s="9"/>
      <c r="CLD34" s="9"/>
      <c r="CLE34" s="9"/>
      <c r="CLF34" s="9"/>
      <c r="CLG34" s="9"/>
      <c r="CLH34" s="9"/>
      <c r="CLI34" s="9"/>
      <c r="CLJ34" s="9"/>
      <c r="CLK34" s="9"/>
      <c r="CLL34" s="9"/>
      <c r="CLM34" s="9"/>
      <c r="CLN34" s="9"/>
      <c r="CLO34" s="9"/>
      <c r="CLP34" s="9"/>
      <c r="CLQ34" s="9"/>
      <c r="CLR34" s="9"/>
      <c r="CLS34" s="9"/>
      <c r="CLT34" s="9"/>
      <c r="CLU34" s="9"/>
      <c r="CLV34" s="9"/>
      <c r="CLW34" s="9"/>
      <c r="CLX34" s="9"/>
      <c r="CLY34" s="9"/>
      <c r="CLZ34" s="9"/>
      <c r="CMA34" s="9"/>
      <c r="CMB34" s="9"/>
      <c r="CMC34" s="9"/>
      <c r="CMD34" s="9"/>
      <c r="CME34" s="9"/>
      <c r="CMF34" s="9"/>
      <c r="CMG34" s="9"/>
      <c r="CMH34" s="9"/>
      <c r="CMI34" s="9"/>
      <c r="CMJ34" s="9"/>
      <c r="CMK34" s="9"/>
      <c r="CML34" s="9"/>
      <c r="CMM34" s="9"/>
      <c r="CMN34" s="9"/>
      <c r="CMO34" s="9"/>
      <c r="CMP34" s="9"/>
      <c r="CMQ34" s="9"/>
      <c r="CMR34" s="9"/>
      <c r="CMS34" s="9"/>
      <c r="CMT34" s="9"/>
      <c r="CMU34" s="9"/>
      <c r="CMV34" s="9"/>
      <c r="CMW34" s="9"/>
      <c r="CMX34" s="9"/>
      <c r="CMY34" s="9"/>
      <c r="CMZ34" s="9"/>
      <c r="CNA34" s="9"/>
      <c r="CNB34" s="9"/>
      <c r="CNC34" s="9"/>
      <c r="CND34" s="9"/>
      <c r="CNE34" s="9"/>
      <c r="CNF34" s="9"/>
      <c r="CNG34" s="9"/>
      <c r="CNH34" s="9"/>
      <c r="CNI34" s="9"/>
      <c r="CNJ34" s="9"/>
      <c r="CNK34" s="9"/>
      <c r="CNL34" s="9"/>
      <c r="CNM34" s="9"/>
      <c r="CNN34" s="9"/>
      <c r="CNO34" s="9"/>
      <c r="CNP34" s="9"/>
      <c r="CNQ34" s="9"/>
      <c r="CNR34" s="9"/>
      <c r="CNS34" s="9"/>
      <c r="CNT34" s="9"/>
      <c r="CNU34" s="9"/>
      <c r="CNV34" s="9"/>
      <c r="CNW34" s="9"/>
      <c r="CNX34" s="9"/>
      <c r="CNY34" s="9"/>
      <c r="CNZ34" s="9"/>
      <c r="COA34" s="9"/>
      <c r="COB34" s="9"/>
      <c r="COC34" s="9"/>
      <c r="COD34" s="9"/>
      <c r="COE34" s="9"/>
      <c r="COF34" s="9"/>
      <c r="COG34" s="9"/>
      <c r="COH34" s="9"/>
      <c r="COI34" s="9"/>
      <c r="COJ34" s="9"/>
      <c r="COK34" s="9"/>
      <c r="COL34" s="9"/>
      <c r="COM34" s="9"/>
      <c r="CON34" s="9"/>
      <c r="COO34" s="9"/>
      <c r="COP34" s="9"/>
      <c r="COQ34" s="9"/>
      <c r="COR34" s="9"/>
      <c r="COS34" s="9"/>
      <c r="COT34" s="9"/>
      <c r="COU34" s="9"/>
      <c r="COV34" s="9"/>
      <c r="COW34" s="9"/>
      <c r="COX34" s="9"/>
      <c r="COY34" s="9"/>
      <c r="COZ34" s="9"/>
      <c r="CPA34" s="9"/>
      <c r="CPB34" s="9"/>
      <c r="CPC34" s="9"/>
      <c r="CPD34" s="9"/>
      <c r="CPE34" s="9"/>
      <c r="CPF34" s="9"/>
      <c r="CPG34" s="9"/>
      <c r="CPH34" s="9"/>
      <c r="CPI34" s="9"/>
      <c r="CPJ34" s="9"/>
      <c r="CPK34" s="9"/>
      <c r="CPL34" s="9"/>
      <c r="CPM34" s="9"/>
      <c r="CPN34" s="9"/>
      <c r="CPO34" s="9"/>
      <c r="CPP34" s="9"/>
      <c r="CPQ34" s="9"/>
      <c r="CPR34" s="9"/>
      <c r="CPS34" s="9"/>
      <c r="CPT34" s="9"/>
      <c r="CPU34" s="9"/>
      <c r="CPV34" s="9"/>
      <c r="CPW34" s="9"/>
      <c r="CPX34" s="9"/>
      <c r="CPY34" s="9"/>
      <c r="CPZ34" s="9"/>
      <c r="CQA34" s="9"/>
      <c r="CQB34" s="9"/>
      <c r="CQC34" s="9"/>
      <c r="CQD34" s="9"/>
      <c r="CQE34" s="9"/>
      <c r="CQF34" s="9"/>
      <c r="CQG34" s="9"/>
      <c r="CQH34" s="9"/>
      <c r="CQI34" s="9"/>
      <c r="CQJ34" s="9"/>
      <c r="CQK34" s="9"/>
      <c r="CQL34" s="9"/>
      <c r="CQM34" s="9"/>
      <c r="CQN34" s="9"/>
      <c r="CQO34" s="9"/>
      <c r="CQP34" s="9"/>
      <c r="CQQ34" s="9"/>
      <c r="CQR34" s="9"/>
      <c r="CQS34" s="9"/>
      <c r="CQT34" s="9"/>
      <c r="CQU34" s="9"/>
      <c r="CQV34" s="9"/>
      <c r="CQW34" s="9"/>
      <c r="CQX34" s="9"/>
      <c r="CQY34" s="9"/>
      <c r="CQZ34" s="9"/>
      <c r="CRA34" s="9"/>
      <c r="CRB34" s="9"/>
      <c r="CRC34" s="9"/>
      <c r="CRD34" s="9"/>
      <c r="CRE34" s="9"/>
      <c r="CRF34" s="9"/>
      <c r="CRG34" s="9"/>
      <c r="CRH34" s="9"/>
      <c r="CRI34" s="9"/>
      <c r="CRJ34" s="9"/>
      <c r="CRK34" s="9"/>
      <c r="CRL34" s="9"/>
      <c r="CRM34" s="9"/>
      <c r="CRN34" s="9"/>
      <c r="CRO34" s="9"/>
      <c r="CRP34" s="9"/>
      <c r="CRQ34" s="9"/>
      <c r="CRR34" s="9"/>
      <c r="CRS34" s="9"/>
      <c r="CRT34" s="9"/>
      <c r="CRU34" s="9"/>
      <c r="CRV34" s="9"/>
      <c r="CRW34" s="9"/>
      <c r="CRX34" s="9"/>
      <c r="CRY34" s="9"/>
      <c r="CRZ34" s="9"/>
      <c r="CSA34" s="9"/>
      <c r="CSB34" s="9"/>
      <c r="CSC34" s="9"/>
      <c r="CSD34" s="9"/>
      <c r="CSE34" s="9"/>
      <c r="CSF34" s="9"/>
      <c r="CSG34" s="9"/>
      <c r="CSH34" s="9"/>
      <c r="CSI34" s="9"/>
      <c r="CSJ34" s="9"/>
      <c r="CSK34" s="9"/>
      <c r="CSL34" s="9"/>
      <c r="CSM34" s="9"/>
      <c r="CSN34" s="9"/>
      <c r="CSO34" s="9"/>
      <c r="CSP34" s="9"/>
      <c r="CSQ34" s="9"/>
      <c r="CSR34" s="9"/>
      <c r="CSS34" s="9"/>
      <c r="CST34" s="9"/>
      <c r="CSU34" s="9"/>
      <c r="CSV34" s="9"/>
      <c r="CSW34" s="9"/>
      <c r="CSX34" s="9"/>
      <c r="CSY34" s="9"/>
      <c r="CSZ34" s="9"/>
      <c r="CTA34" s="9"/>
      <c r="CTB34" s="9"/>
      <c r="CTC34" s="9"/>
      <c r="CTD34" s="9"/>
      <c r="CTE34" s="9"/>
      <c r="CTF34" s="9"/>
      <c r="CTG34" s="9"/>
      <c r="CTH34" s="9"/>
      <c r="CTI34" s="9"/>
      <c r="CTJ34" s="9"/>
      <c r="CTK34" s="9"/>
      <c r="CTL34" s="9"/>
      <c r="CTM34" s="9"/>
      <c r="CTN34" s="9"/>
      <c r="CTO34" s="9"/>
      <c r="CTP34" s="9"/>
      <c r="CTQ34" s="9"/>
      <c r="CTR34" s="9"/>
      <c r="CTS34" s="9"/>
      <c r="CTT34" s="9"/>
      <c r="CTU34" s="9"/>
      <c r="CTV34" s="9"/>
      <c r="CTW34" s="9"/>
      <c r="CTX34" s="9"/>
      <c r="CTY34" s="9"/>
      <c r="CTZ34" s="9"/>
    </row>
    <row r="35" spans="1:2574" s="11" customFormat="1" ht="15.6" customHeight="1" x14ac:dyDescent="0.3">
      <c r="A35" s="75">
        <v>4</v>
      </c>
      <c r="B35" s="70" t="s">
        <v>76</v>
      </c>
      <c r="C35" s="5" t="s">
        <v>71</v>
      </c>
      <c r="D35" s="82" t="s">
        <v>72</v>
      </c>
      <c r="E35" s="6">
        <v>304</v>
      </c>
      <c r="F35" s="85" t="s">
        <v>90</v>
      </c>
      <c r="G35" s="86"/>
      <c r="H35" s="5" t="s">
        <v>63</v>
      </c>
      <c r="I35" s="71">
        <v>276</v>
      </c>
      <c r="J35" s="5">
        <f t="shared" si="0"/>
        <v>46</v>
      </c>
      <c r="K35" s="72">
        <v>2.2400000000000002</v>
      </c>
      <c r="L35" s="72">
        <f t="shared" si="1"/>
        <v>618.24</v>
      </c>
      <c r="M35" s="73">
        <v>0.907335</v>
      </c>
      <c r="N35" s="73">
        <f t="shared" si="2"/>
        <v>250.42446000000001</v>
      </c>
      <c r="O35" s="5">
        <v>73064000</v>
      </c>
      <c r="P35" s="60" t="s">
        <v>106</v>
      </c>
      <c r="Q35" s="4"/>
      <c r="R35" s="43" t="s">
        <v>62</v>
      </c>
      <c r="S35" s="64"/>
      <c r="T35" s="13"/>
      <c r="U35" s="13"/>
      <c r="V35" s="13"/>
      <c r="W35" s="13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  <c r="ADS35" s="9"/>
      <c r="ADT35" s="9"/>
      <c r="ADU35" s="9"/>
      <c r="ADV35" s="9"/>
      <c r="ADW35" s="9"/>
      <c r="ADX35" s="9"/>
      <c r="ADY35" s="9"/>
      <c r="ADZ35" s="9"/>
      <c r="AEA35" s="9"/>
      <c r="AEB35" s="9"/>
      <c r="AEC35" s="9"/>
      <c r="AED35" s="9"/>
      <c r="AEE35" s="9"/>
      <c r="AEF35" s="9"/>
      <c r="AEG35" s="9"/>
      <c r="AEH35" s="9"/>
      <c r="AEI35" s="9"/>
      <c r="AEJ35" s="9"/>
      <c r="AEK35" s="9"/>
      <c r="AEL35" s="9"/>
      <c r="AEM35" s="9"/>
      <c r="AEN35" s="9"/>
      <c r="AEO35" s="9"/>
      <c r="AEP35" s="9"/>
      <c r="AEQ35" s="9"/>
      <c r="AER35" s="9"/>
      <c r="AES35" s="9"/>
      <c r="AET35" s="9"/>
      <c r="AEU35" s="9"/>
      <c r="AEV35" s="9"/>
      <c r="AEW35" s="9"/>
      <c r="AEX35" s="9"/>
      <c r="AEY35" s="9"/>
      <c r="AEZ35" s="9"/>
      <c r="AFA35" s="9"/>
      <c r="AFB35" s="9"/>
      <c r="AFC35" s="9"/>
      <c r="AFD35" s="9"/>
      <c r="AFE35" s="9"/>
      <c r="AFF35" s="9"/>
      <c r="AFG35" s="9"/>
      <c r="AFH35" s="9"/>
      <c r="AFI35" s="9"/>
      <c r="AFJ35" s="9"/>
      <c r="AFK35" s="9"/>
      <c r="AFL35" s="9"/>
      <c r="AFM35" s="9"/>
      <c r="AFN35" s="9"/>
      <c r="AFO35" s="9"/>
      <c r="AFP35" s="9"/>
      <c r="AFQ35" s="9"/>
      <c r="AFR35" s="9"/>
      <c r="AFS35" s="9"/>
      <c r="AFT35" s="9"/>
      <c r="AFU35" s="9"/>
      <c r="AFV35" s="9"/>
      <c r="AFW35" s="9"/>
      <c r="AFX35" s="9"/>
      <c r="AFY35" s="9"/>
      <c r="AFZ35" s="9"/>
      <c r="AGA35" s="9"/>
      <c r="AGB35" s="9"/>
      <c r="AGC35" s="9"/>
      <c r="AGD35" s="9"/>
      <c r="AGE35" s="9"/>
      <c r="AGF35" s="9"/>
      <c r="AGG35" s="9"/>
      <c r="AGH35" s="9"/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/>
      <c r="AHH35" s="9"/>
      <c r="AHI35" s="9"/>
      <c r="AHJ35" s="9"/>
      <c r="AHK35" s="9"/>
      <c r="AHL35" s="9"/>
      <c r="AHM35" s="9"/>
      <c r="AHN35" s="9"/>
      <c r="AHO35" s="9"/>
      <c r="AHP35" s="9"/>
      <c r="AHQ35" s="9"/>
      <c r="AHR35" s="9"/>
      <c r="AHS35" s="9"/>
      <c r="AHT35" s="9"/>
      <c r="AHU35" s="9"/>
      <c r="AHV35" s="9"/>
      <c r="AHW35" s="9"/>
      <c r="AHX35" s="9"/>
      <c r="AHY35" s="9"/>
      <c r="AHZ35" s="9"/>
      <c r="AIA35" s="9"/>
      <c r="AIB35" s="9"/>
      <c r="AIC35" s="9"/>
      <c r="AID35" s="9"/>
      <c r="AIE35" s="9"/>
      <c r="AIF35" s="9"/>
      <c r="AIG35" s="9"/>
      <c r="AIH35" s="9"/>
      <c r="AII35" s="9"/>
      <c r="AIJ35" s="9"/>
      <c r="AIK35" s="9"/>
      <c r="AIL35" s="9"/>
      <c r="AIM35" s="9"/>
      <c r="AIN35" s="9"/>
      <c r="AIO35" s="9"/>
      <c r="AIP35" s="9"/>
      <c r="AIQ35" s="9"/>
      <c r="AIR35" s="9"/>
      <c r="AIS35" s="9"/>
      <c r="AIT35" s="9"/>
      <c r="AIU35" s="9"/>
      <c r="AIV35" s="9"/>
      <c r="AIW35" s="9"/>
      <c r="AIX35" s="9"/>
      <c r="AIY35" s="9"/>
      <c r="AIZ35" s="9"/>
      <c r="AJA35" s="9"/>
      <c r="AJB35" s="9"/>
      <c r="AJC35" s="9"/>
      <c r="AJD35" s="9"/>
      <c r="AJE35" s="9"/>
      <c r="AJF35" s="9"/>
      <c r="AJG35" s="9"/>
      <c r="AJH35" s="9"/>
      <c r="AJI35" s="9"/>
      <c r="AJJ35" s="9"/>
      <c r="AJK35" s="9"/>
      <c r="AJL35" s="9"/>
      <c r="AJM35" s="9"/>
      <c r="AJN35" s="9"/>
      <c r="AJO35" s="9"/>
      <c r="AJP35" s="9"/>
      <c r="AJQ35" s="9"/>
      <c r="AJR35" s="9"/>
      <c r="AJS35" s="9"/>
      <c r="AJT35" s="9"/>
      <c r="AJU35" s="9"/>
      <c r="AJV35" s="9"/>
      <c r="AJW35" s="9"/>
      <c r="AJX35" s="9"/>
      <c r="AJY35" s="9"/>
      <c r="AJZ35" s="9"/>
      <c r="AKA35" s="9"/>
      <c r="AKB35" s="9"/>
      <c r="AKC35" s="9"/>
      <c r="AKD35" s="9"/>
      <c r="AKE35" s="9"/>
      <c r="AKF35" s="9"/>
      <c r="AKG35" s="9"/>
      <c r="AKH35" s="9"/>
      <c r="AKI35" s="9"/>
      <c r="AKJ35" s="9"/>
      <c r="AKK35" s="9"/>
      <c r="AKL35" s="9"/>
      <c r="AKM35" s="9"/>
      <c r="AKN35" s="9"/>
      <c r="AKO35" s="9"/>
      <c r="AKP35" s="9"/>
      <c r="AKQ35" s="9"/>
      <c r="AKR35" s="9"/>
      <c r="AKS35" s="9"/>
      <c r="AKT35" s="9"/>
      <c r="AKU35" s="9"/>
      <c r="AKV35" s="9"/>
      <c r="AKW35" s="9"/>
      <c r="AKX35" s="9"/>
      <c r="AKY35" s="9"/>
      <c r="AKZ35" s="9"/>
      <c r="ALA35" s="9"/>
      <c r="ALB35" s="9"/>
      <c r="ALC35" s="9"/>
      <c r="ALD35" s="9"/>
      <c r="ALE35" s="9"/>
      <c r="ALF35" s="9"/>
      <c r="ALG35" s="9"/>
      <c r="ALH35" s="9"/>
      <c r="ALI35" s="9"/>
      <c r="ALJ35" s="9"/>
      <c r="ALK35" s="9"/>
      <c r="ALL35" s="9"/>
      <c r="ALM35" s="9"/>
      <c r="ALN35" s="9"/>
      <c r="ALO35" s="9"/>
      <c r="ALP35" s="9"/>
      <c r="ALQ35" s="9"/>
      <c r="ALR35" s="9"/>
      <c r="ALS35" s="9"/>
      <c r="ALT35" s="9"/>
      <c r="ALU35" s="9"/>
      <c r="ALV35" s="9"/>
      <c r="ALW35" s="9"/>
      <c r="ALX35" s="9"/>
      <c r="ALY35" s="9"/>
      <c r="ALZ35" s="9"/>
      <c r="AMA35" s="9"/>
      <c r="AMB35" s="9"/>
      <c r="AMC35" s="9"/>
      <c r="AMD35" s="9"/>
      <c r="AME35" s="9"/>
      <c r="AMF35" s="9"/>
      <c r="AMG35" s="9"/>
      <c r="AMH35" s="9"/>
      <c r="AMI35" s="9"/>
      <c r="AMJ35" s="9"/>
      <c r="AMK35" s="9"/>
      <c r="AML35" s="9"/>
      <c r="AMM35" s="9"/>
      <c r="AMN35" s="9"/>
      <c r="AMO35" s="9"/>
      <c r="AMP35" s="9"/>
      <c r="AMQ35" s="9"/>
      <c r="AMR35" s="9"/>
      <c r="AMS35" s="9"/>
      <c r="AMT35" s="9"/>
      <c r="AMU35" s="9"/>
      <c r="AMV35" s="9"/>
      <c r="AMW35" s="9"/>
      <c r="AMX35" s="9"/>
      <c r="AMY35" s="9"/>
      <c r="AMZ35" s="9"/>
      <c r="ANA35" s="9"/>
      <c r="ANB35" s="9"/>
      <c r="ANC35" s="9"/>
      <c r="AND35" s="9"/>
      <c r="ANE35" s="9"/>
      <c r="ANF35" s="9"/>
      <c r="ANG35" s="9"/>
      <c r="ANH35" s="9"/>
      <c r="ANI35" s="9"/>
      <c r="ANJ35" s="9"/>
      <c r="ANK35" s="9"/>
      <c r="ANL35" s="9"/>
      <c r="ANM35" s="9"/>
      <c r="ANN35" s="9"/>
      <c r="ANO35" s="9"/>
      <c r="ANP35" s="9"/>
      <c r="ANQ35" s="9"/>
      <c r="ANR35" s="9"/>
      <c r="ANS35" s="9"/>
      <c r="ANT35" s="9"/>
      <c r="ANU35" s="9"/>
      <c r="ANV35" s="9"/>
      <c r="ANW35" s="9"/>
      <c r="ANX35" s="9"/>
      <c r="ANY35" s="9"/>
      <c r="ANZ35" s="9"/>
      <c r="AOA35" s="9"/>
      <c r="AOB35" s="9"/>
      <c r="AOC35" s="9"/>
      <c r="AOD35" s="9"/>
      <c r="AOE35" s="9"/>
      <c r="AOF35" s="9"/>
      <c r="AOG35" s="9"/>
      <c r="AOH35" s="9"/>
      <c r="AOI35" s="9"/>
      <c r="AOJ35" s="9"/>
      <c r="AOK35" s="9"/>
      <c r="AOL35" s="9"/>
      <c r="AOM35" s="9"/>
      <c r="AON35" s="9"/>
      <c r="AOO35" s="9"/>
      <c r="AOP35" s="9"/>
      <c r="AOQ35" s="9"/>
      <c r="AOR35" s="9"/>
      <c r="AOS35" s="9"/>
      <c r="AOT35" s="9"/>
      <c r="AOU35" s="9"/>
      <c r="AOV35" s="9"/>
      <c r="AOW35" s="9"/>
      <c r="AOX35" s="9"/>
      <c r="AOY35" s="9"/>
      <c r="AOZ35" s="9"/>
      <c r="APA35" s="9"/>
      <c r="APB35" s="9"/>
      <c r="APC35" s="9"/>
      <c r="APD35" s="9"/>
      <c r="APE35" s="9"/>
      <c r="APF35" s="9"/>
      <c r="APG35" s="9"/>
      <c r="APH35" s="9"/>
      <c r="API35" s="9"/>
      <c r="APJ35" s="9"/>
      <c r="APK35" s="9"/>
      <c r="APL35" s="9"/>
      <c r="APM35" s="9"/>
      <c r="APN35" s="9"/>
      <c r="APO35" s="9"/>
      <c r="APP35" s="9"/>
      <c r="APQ35" s="9"/>
      <c r="APR35" s="9"/>
      <c r="APS35" s="9"/>
      <c r="APT35" s="9"/>
      <c r="APU35" s="9"/>
      <c r="APV35" s="9"/>
      <c r="APW35" s="9"/>
      <c r="APX35" s="9"/>
      <c r="APY35" s="9"/>
      <c r="APZ35" s="9"/>
      <c r="AQA35" s="9"/>
      <c r="AQB35" s="9"/>
      <c r="AQC35" s="9"/>
      <c r="AQD35" s="9"/>
      <c r="AQE35" s="9"/>
      <c r="AQF35" s="9"/>
      <c r="AQG35" s="9"/>
      <c r="AQH35" s="9"/>
      <c r="AQI35" s="9"/>
      <c r="AQJ35" s="9"/>
      <c r="AQK35" s="9"/>
      <c r="AQL35" s="9"/>
      <c r="AQM35" s="9"/>
      <c r="AQN35" s="9"/>
      <c r="AQO35" s="9"/>
      <c r="AQP35" s="9"/>
      <c r="AQQ35" s="9"/>
      <c r="AQR35" s="9"/>
      <c r="AQS35" s="9"/>
      <c r="AQT35" s="9"/>
      <c r="AQU35" s="9"/>
      <c r="AQV35" s="9"/>
      <c r="AQW35" s="9"/>
      <c r="AQX35" s="9"/>
      <c r="AQY35" s="9"/>
      <c r="AQZ35" s="9"/>
      <c r="ARA35" s="9"/>
      <c r="ARB35" s="9"/>
      <c r="ARC35" s="9"/>
      <c r="ARD35" s="9"/>
      <c r="ARE35" s="9"/>
      <c r="ARF35" s="9"/>
      <c r="ARG35" s="9"/>
      <c r="ARH35" s="9"/>
      <c r="ARI35" s="9"/>
      <c r="ARJ35" s="9"/>
      <c r="ARK35" s="9"/>
      <c r="ARL35" s="9"/>
      <c r="ARM35" s="9"/>
      <c r="ARN35" s="9"/>
      <c r="ARO35" s="9"/>
      <c r="ARP35" s="9"/>
      <c r="ARQ35" s="9"/>
      <c r="ARR35" s="9"/>
      <c r="ARS35" s="9"/>
      <c r="ART35" s="9"/>
      <c r="ARU35" s="9"/>
      <c r="ARV35" s="9"/>
      <c r="ARW35" s="9"/>
      <c r="ARX35" s="9"/>
      <c r="ARY35" s="9"/>
      <c r="ARZ35" s="9"/>
      <c r="ASA35" s="9"/>
      <c r="ASB35" s="9"/>
      <c r="ASC35" s="9"/>
      <c r="ASD35" s="9"/>
      <c r="ASE35" s="9"/>
      <c r="ASF35" s="9"/>
      <c r="ASG35" s="9"/>
      <c r="ASH35" s="9"/>
      <c r="ASI35" s="9"/>
      <c r="ASJ35" s="9"/>
      <c r="ASK35" s="9"/>
      <c r="ASL35" s="9"/>
      <c r="ASM35" s="9"/>
      <c r="ASN35" s="9"/>
      <c r="ASO35" s="9"/>
      <c r="ASP35" s="9"/>
      <c r="ASQ35" s="9"/>
      <c r="ASR35" s="9"/>
      <c r="ASS35" s="9"/>
      <c r="AST35" s="9"/>
      <c r="ASU35" s="9"/>
      <c r="ASV35" s="9"/>
      <c r="ASW35" s="9"/>
      <c r="ASX35" s="9"/>
      <c r="ASY35" s="9"/>
      <c r="ASZ35" s="9"/>
      <c r="ATA35" s="9"/>
      <c r="ATB35" s="9"/>
      <c r="ATC35" s="9"/>
      <c r="ATD35" s="9"/>
      <c r="ATE35" s="9"/>
      <c r="ATF35" s="9"/>
      <c r="ATG35" s="9"/>
      <c r="ATH35" s="9"/>
      <c r="ATI35" s="9"/>
      <c r="ATJ35" s="9"/>
      <c r="ATK35" s="9"/>
      <c r="ATL35" s="9"/>
      <c r="ATM35" s="9"/>
      <c r="ATN35" s="9"/>
      <c r="ATO35" s="9"/>
      <c r="ATP35" s="9"/>
      <c r="ATQ35" s="9"/>
      <c r="ATR35" s="9"/>
      <c r="ATS35" s="9"/>
      <c r="ATT35" s="9"/>
      <c r="ATU35" s="9"/>
      <c r="ATV35" s="9"/>
      <c r="ATW35" s="9"/>
      <c r="ATX35" s="9"/>
      <c r="ATY35" s="9"/>
      <c r="ATZ35" s="9"/>
      <c r="AUA35" s="9"/>
      <c r="AUB35" s="9"/>
      <c r="AUC35" s="9"/>
      <c r="AUD35" s="9"/>
      <c r="AUE35" s="9"/>
      <c r="AUF35" s="9"/>
      <c r="AUG35" s="9"/>
      <c r="AUH35" s="9"/>
      <c r="AUI35" s="9"/>
      <c r="AUJ35" s="9"/>
      <c r="AUK35" s="9"/>
      <c r="AUL35" s="9"/>
      <c r="AUM35" s="9"/>
      <c r="AUN35" s="9"/>
      <c r="AUO35" s="9"/>
      <c r="AUP35" s="9"/>
      <c r="AUQ35" s="9"/>
      <c r="AUR35" s="9"/>
      <c r="AUS35" s="9"/>
      <c r="AUT35" s="9"/>
      <c r="AUU35" s="9"/>
      <c r="AUV35" s="9"/>
      <c r="AUW35" s="9"/>
      <c r="AUX35" s="9"/>
      <c r="AUY35" s="9"/>
      <c r="AUZ35" s="9"/>
      <c r="AVA35" s="9"/>
      <c r="AVB35" s="9"/>
      <c r="AVC35" s="9"/>
      <c r="AVD35" s="9"/>
      <c r="AVE35" s="9"/>
      <c r="AVF35" s="9"/>
      <c r="AVG35" s="9"/>
      <c r="AVH35" s="9"/>
      <c r="AVI35" s="9"/>
      <c r="AVJ35" s="9"/>
      <c r="AVK35" s="9"/>
      <c r="AVL35" s="9"/>
      <c r="AVM35" s="9"/>
      <c r="AVN35" s="9"/>
      <c r="AVO35" s="9"/>
      <c r="AVP35" s="9"/>
      <c r="AVQ35" s="9"/>
      <c r="AVR35" s="9"/>
      <c r="AVS35" s="9"/>
      <c r="AVT35" s="9"/>
      <c r="AVU35" s="9"/>
      <c r="AVV35" s="9"/>
      <c r="AVW35" s="9"/>
      <c r="AVX35" s="9"/>
      <c r="AVY35" s="9"/>
      <c r="AVZ35" s="9"/>
      <c r="AWA35" s="9"/>
      <c r="AWB35" s="9"/>
      <c r="AWC35" s="9"/>
      <c r="AWD35" s="9"/>
      <c r="AWE35" s="9"/>
      <c r="AWF35" s="9"/>
      <c r="AWG35" s="9"/>
      <c r="AWH35" s="9"/>
      <c r="AWI35" s="9"/>
      <c r="AWJ35" s="9"/>
      <c r="AWK35" s="9"/>
      <c r="AWL35" s="9"/>
      <c r="AWM35" s="9"/>
      <c r="AWN35" s="9"/>
      <c r="AWO35" s="9"/>
      <c r="AWP35" s="9"/>
      <c r="AWQ35" s="9"/>
      <c r="AWR35" s="9"/>
      <c r="AWS35" s="9"/>
      <c r="AWT35" s="9"/>
      <c r="AWU35" s="9"/>
      <c r="AWV35" s="9"/>
      <c r="AWW35" s="9"/>
      <c r="AWX35" s="9"/>
      <c r="AWY35" s="9"/>
      <c r="AWZ35" s="9"/>
      <c r="AXA35" s="9"/>
      <c r="AXB35" s="9"/>
      <c r="AXC35" s="9"/>
      <c r="AXD35" s="9"/>
      <c r="AXE35" s="9"/>
      <c r="AXF35" s="9"/>
      <c r="AXG35" s="9"/>
      <c r="AXH35" s="9"/>
      <c r="AXI35" s="9"/>
      <c r="AXJ35" s="9"/>
      <c r="AXK35" s="9"/>
      <c r="AXL35" s="9"/>
      <c r="AXM35" s="9"/>
      <c r="AXN35" s="9"/>
      <c r="AXO35" s="9"/>
      <c r="AXP35" s="9"/>
      <c r="AXQ35" s="9"/>
      <c r="AXR35" s="9"/>
      <c r="AXS35" s="9"/>
      <c r="AXT35" s="9"/>
      <c r="AXU35" s="9"/>
      <c r="AXV35" s="9"/>
      <c r="AXW35" s="9"/>
      <c r="AXX35" s="9"/>
      <c r="AXY35" s="9"/>
      <c r="AXZ35" s="9"/>
      <c r="AYA35" s="9"/>
      <c r="AYB35" s="9"/>
      <c r="AYC35" s="9"/>
      <c r="AYD35" s="9"/>
      <c r="AYE35" s="9"/>
      <c r="AYF35" s="9"/>
      <c r="AYG35" s="9"/>
      <c r="AYH35" s="9"/>
      <c r="AYI35" s="9"/>
      <c r="AYJ35" s="9"/>
      <c r="AYK35" s="9"/>
      <c r="AYL35" s="9"/>
      <c r="AYM35" s="9"/>
      <c r="AYN35" s="9"/>
      <c r="AYO35" s="9"/>
      <c r="AYP35" s="9"/>
      <c r="AYQ35" s="9"/>
      <c r="AYR35" s="9"/>
      <c r="AYS35" s="9"/>
      <c r="AYT35" s="9"/>
      <c r="AYU35" s="9"/>
      <c r="AYV35" s="9"/>
      <c r="AYW35" s="9"/>
      <c r="AYX35" s="9"/>
      <c r="AYY35" s="9"/>
      <c r="AYZ35" s="9"/>
      <c r="AZA35" s="9"/>
      <c r="AZB35" s="9"/>
      <c r="AZC35" s="9"/>
      <c r="AZD35" s="9"/>
      <c r="AZE35" s="9"/>
      <c r="AZF35" s="9"/>
      <c r="AZG35" s="9"/>
      <c r="AZH35" s="9"/>
      <c r="AZI35" s="9"/>
      <c r="AZJ35" s="9"/>
      <c r="AZK35" s="9"/>
      <c r="AZL35" s="9"/>
      <c r="AZM35" s="9"/>
      <c r="AZN35" s="9"/>
      <c r="AZO35" s="9"/>
      <c r="AZP35" s="9"/>
      <c r="AZQ35" s="9"/>
      <c r="AZR35" s="9"/>
      <c r="AZS35" s="9"/>
      <c r="AZT35" s="9"/>
      <c r="AZU35" s="9"/>
      <c r="AZV35" s="9"/>
      <c r="AZW35" s="9"/>
      <c r="AZX35" s="9"/>
      <c r="AZY35" s="9"/>
      <c r="AZZ35" s="9"/>
      <c r="BAA35" s="9"/>
      <c r="BAB35" s="9"/>
      <c r="BAC35" s="9"/>
      <c r="BAD35" s="9"/>
      <c r="BAE35" s="9"/>
      <c r="BAF35" s="9"/>
      <c r="BAG35" s="9"/>
      <c r="BAH35" s="9"/>
      <c r="BAI35" s="9"/>
      <c r="BAJ35" s="9"/>
      <c r="BAK35" s="9"/>
      <c r="BAL35" s="9"/>
      <c r="BAM35" s="9"/>
      <c r="BAN35" s="9"/>
      <c r="BAO35" s="9"/>
      <c r="BAP35" s="9"/>
      <c r="BAQ35" s="9"/>
      <c r="BAR35" s="9"/>
      <c r="BAS35" s="9"/>
      <c r="BAT35" s="9"/>
      <c r="BAU35" s="9"/>
      <c r="BAV35" s="9"/>
      <c r="BAW35" s="9"/>
      <c r="BAX35" s="9"/>
      <c r="BAY35" s="9"/>
      <c r="BAZ35" s="9"/>
      <c r="BBA35" s="9"/>
      <c r="BBB35" s="9"/>
      <c r="BBC35" s="9"/>
      <c r="BBD35" s="9"/>
      <c r="BBE35" s="9"/>
      <c r="BBF35" s="9"/>
      <c r="BBG35" s="9"/>
      <c r="BBH35" s="9"/>
      <c r="BBI35" s="9"/>
      <c r="BBJ35" s="9"/>
      <c r="BBK35" s="9"/>
      <c r="BBL35" s="9"/>
      <c r="BBM35" s="9"/>
      <c r="BBN35" s="9"/>
      <c r="BBO35" s="9"/>
      <c r="BBP35" s="9"/>
      <c r="BBQ35" s="9"/>
      <c r="BBR35" s="9"/>
      <c r="BBS35" s="9"/>
      <c r="BBT35" s="9"/>
      <c r="BBU35" s="9"/>
      <c r="BBV35" s="9"/>
      <c r="BBW35" s="9"/>
      <c r="BBX35" s="9"/>
      <c r="BBY35" s="9"/>
      <c r="BBZ35" s="9"/>
      <c r="BCA35" s="9"/>
      <c r="BCB35" s="9"/>
      <c r="BCC35" s="9"/>
      <c r="BCD35" s="9"/>
      <c r="BCE35" s="9"/>
      <c r="BCF35" s="9"/>
      <c r="BCG35" s="9"/>
      <c r="BCH35" s="9"/>
      <c r="BCI35" s="9"/>
      <c r="BCJ35" s="9"/>
      <c r="BCK35" s="9"/>
      <c r="BCL35" s="9"/>
      <c r="BCM35" s="9"/>
      <c r="BCN35" s="9"/>
      <c r="BCO35" s="9"/>
      <c r="BCP35" s="9"/>
      <c r="BCQ35" s="9"/>
      <c r="BCR35" s="9"/>
      <c r="BCS35" s="9"/>
      <c r="BCT35" s="9"/>
      <c r="BCU35" s="9"/>
      <c r="BCV35" s="9"/>
      <c r="BCW35" s="9"/>
      <c r="BCX35" s="9"/>
      <c r="BCY35" s="9"/>
      <c r="BCZ35" s="9"/>
      <c r="BDA35" s="9"/>
      <c r="BDB35" s="9"/>
      <c r="BDC35" s="9"/>
      <c r="BDD35" s="9"/>
      <c r="BDE35" s="9"/>
      <c r="BDF35" s="9"/>
      <c r="BDG35" s="9"/>
      <c r="BDH35" s="9"/>
      <c r="BDI35" s="9"/>
      <c r="BDJ35" s="9"/>
      <c r="BDK35" s="9"/>
      <c r="BDL35" s="9"/>
      <c r="BDM35" s="9"/>
      <c r="BDN35" s="9"/>
      <c r="BDO35" s="9"/>
      <c r="BDP35" s="9"/>
      <c r="BDQ35" s="9"/>
      <c r="BDR35" s="9"/>
      <c r="BDS35" s="9"/>
      <c r="BDT35" s="9"/>
      <c r="BDU35" s="9"/>
      <c r="BDV35" s="9"/>
      <c r="BDW35" s="9"/>
      <c r="BDX35" s="9"/>
      <c r="BDY35" s="9"/>
      <c r="BDZ35" s="9"/>
      <c r="BEA35" s="9"/>
      <c r="BEB35" s="9"/>
      <c r="BEC35" s="9"/>
      <c r="BED35" s="9"/>
      <c r="BEE35" s="9"/>
      <c r="BEF35" s="9"/>
      <c r="BEG35" s="9"/>
      <c r="BEH35" s="9"/>
      <c r="BEI35" s="9"/>
      <c r="BEJ35" s="9"/>
      <c r="BEK35" s="9"/>
      <c r="BEL35" s="9"/>
      <c r="BEM35" s="9"/>
      <c r="BEN35" s="9"/>
      <c r="BEO35" s="9"/>
      <c r="BEP35" s="9"/>
      <c r="BEQ35" s="9"/>
      <c r="BER35" s="9"/>
      <c r="BES35" s="9"/>
      <c r="BET35" s="9"/>
      <c r="BEU35" s="9"/>
      <c r="BEV35" s="9"/>
      <c r="BEW35" s="9"/>
      <c r="BEX35" s="9"/>
      <c r="BEY35" s="9"/>
      <c r="BEZ35" s="9"/>
      <c r="BFA35" s="9"/>
      <c r="BFB35" s="9"/>
      <c r="BFC35" s="9"/>
      <c r="BFD35" s="9"/>
      <c r="BFE35" s="9"/>
      <c r="BFF35" s="9"/>
      <c r="BFG35" s="9"/>
      <c r="BFH35" s="9"/>
      <c r="BFI35" s="9"/>
      <c r="BFJ35" s="9"/>
      <c r="BFK35" s="9"/>
      <c r="BFL35" s="9"/>
      <c r="BFM35" s="9"/>
      <c r="BFN35" s="9"/>
      <c r="BFO35" s="9"/>
      <c r="BFP35" s="9"/>
      <c r="BFQ35" s="9"/>
      <c r="BFR35" s="9"/>
      <c r="BFS35" s="9"/>
      <c r="BFT35" s="9"/>
      <c r="BFU35" s="9"/>
      <c r="BFV35" s="9"/>
      <c r="BFW35" s="9"/>
      <c r="BFX35" s="9"/>
      <c r="BFY35" s="9"/>
      <c r="BFZ35" s="9"/>
      <c r="BGA35" s="9"/>
      <c r="BGB35" s="9"/>
      <c r="BGC35" s="9"/>
      <c r="BGD35" s="9"/>
      <c r="BGE35" s="9"/>
      <c r="BGF35" s="9"/>
      <c r="BGG35" s="9"/>
      <c r="BGH35" s="9"/>
      <c r="BGI35" s="9"/>
      <c r="BGJ35" s="9"/>
      <c r="BGK35" s="9"/>
      <c r="BGL35" s="9"/>
      <c r="BGM35" s="9"/>
      <c r="BGN35" s="9"/>
      <c r="BGO35" s="9"/>
      <c r="BGP35" s="9"/>
      <c r="BGQ35" s="9"/>
      <c r="BGR35" s="9"/>
      <c r="BGS35" s="9"/>
      <c r="BGT35" s="9"/>
      <c r="BGU35" s="9"/>
      <c r="BGV35" s="9"/>
      <c r="BGW35" s="9"/>
      <c r="BGX35" s="9"/>
      <c r="BGY35" s="9"/>
      <c r="BGZ35" s="9"/>
      <c r="BHA35" s="9"/>
      <c r="BHB35" s="9"/>
      <c r="BHC35" s="9"/>
      <c r="BHD35" s="9"/>
      <c r="BHE35" s="9"/>
      <c r="BHF35" s="9"/>
      <c r="BHG35" s="9"/>
      <c r="BHH35" s="9"/>
      <c r="BHI35" s="9"/>
      <c r="BHJ35" s="9"/>
      <c r="BHK35" s="9"/>
      <c r="BHL35" s="9"/>
      <c r="BHM35" s="9"/>
      <c r="BHN35" s="9"/>
      <c r="BHO35" s="9"/>
      <c r="BHP35" s="9"/>
      <c r="BHQ35" s="9"/>
      <c r="BHR35" s="9"/>
      <c r="BHS35" s="9"/>
      <c r="BHT35" s="9"/>
      <c r="BHU35" s="9"/>
      <c r="BHV35" s="9"/>
      <c r="BHW35" s="9"/>
      <c r="BHX35" s="9"/>
      <c r="BHY35" s="9"/>
      <c r="BHZ35" s="9"/>
      <c r="BIA35" s="9"/>
      <c r="BIB35" s="9"/>
      <c r="BIC35" s="9"/>
      <c r="BID35" s="9"/>
      <c r="BIE35" s="9"/>
      <c r="BIF35" s="9"/>
      <c r="BIG35" s="9"/>
      <c r="BIH35" s="9"/>
      <c r="BII35" s="9"/>
      <c r="BIJ35" s="9"/>
      <c r="BIK35" s="9"/>
      <c r="BIL35" s="9"/>
      <c r="BIM35" s="9"/>
      <c r="BIN35" s="9"/>
      <c r="BIO35" s="9"/>
      <c r="BIP35" s="9"/>
      <c r="BIQ35" s="9"/>
      <c r="BIR35" s="9"/>
      <c r="BIS35" s="9"/>
      <c r="BIT35" s="9"/>
      <c r="BIU35" s="9"/>
      <c r="BIV35" s="9"/>
      <c r="BIW35" s="9"/>
      <c r="BIX35" s="9"/>
      <c r="BIY35" s="9"/>
      <c r="BIZ35" s="9"/>
      <c r="BJA35" s="9"/>
      <c r="BJB35" s="9"/>
      <c r="BJC35" s="9"/>
      <c r="BJD35" s="9"/>
      <c r="BJE35" s="9"/>
      <c r="BJF35" s="9"/>
      <c r="BJG35" s="9"/>
      <c r="BJH35" s="9"/>
      <c r="BJI35" s="9"/>
      <c r="BJJ35" s="9"/>
      <c r="BJK35" s="9"/>
      <c r="BJL35" s="9"/>
      <c r="BJM35" s="9"/>
      <c r="BJN35" s="9"/>
      <c r="BJO35" s="9"/>
      <c r="BJP35" s="9"/>
      <c r="BJQ35" s="9"/>
      <c r="BJR35" s="9"/>
      <c r="BJS35" s="9"/>
      <c r="BJT35" s="9"/>
      <c r="BJU35" s="9"/>
      <c r="BJV35" s="9"/>
      <c r="BJW35" s="9"/>
      <c r="BJX35" s="9"/>
      <c r="BJY35" s="9"/>
      <c r="BJZ35" s="9"/>
      <c r="BKA35" s="9"/>
      <c r="BKB35" s="9"/>
      <c r="BKC35" s="9"/>
      <c r="BKD35" s="9"/>
      <c r="BKE35" s="9"/>
      <c r="BKF35" s="9"/>
      <c r="BKG35" s="9"/>
      <c r="BKH35" s="9"/>
      <c r="BKI35" s="9"/>
      <c r="BKJ35" s="9"/>
      <c r="BKK35" s="9"/>
      <c r="BKL35" s="9"/>
      <c r="BKM35" s="9"/>
      <c r="BKN35" s="9"/>
      <c r="BKO35" s="9"/>
      <c r="BKP35" s="9"/>
      <c r="BKQ35" s="9"/>
      <c r="BKR35" s="9"/>
      <c r="BKS35" s="9"/>
      <c r="BKT35" s="9"/>
      <c r="BKU35" s="9"/>
      <c r="BKV35" s="9"/>
      <c r="BKW35" s="9"/>
      <c r="BKX35" s="9"/>
      <c r="BKY35" s="9"/>
      <c r="BKZ35" s="9"/>
      <c r="BLA35" s="9"/>
      <c r="BLB35" s="9"/>
      <c r="BLC35" s="9"/>
      <c r="BLD35" s="9"/>
      <c r="BLE35" s="9"/>
      <c r="BLF35" s="9"/>
      <c r="BLG35" s="9"/>
      <c r="BLH35" s="9"/>
      <c r="BLI35" s="9"/>
      <c r="BLJ35" s="9"/>
      <c r="BLK35" s="9"/>
      <c r="BLL35" s="9"/>
      <c r="BLM35" s="9"/>
      <c r="BLN35" s="9"/>
      <c r="BLO35" s="9"/>
      <c r="BLP35" s="9"/>
      <c r="BLQ35" s="9"/>
      <c r="BLR35" s="9"/>
      <c r="BLS35" s="9"/>
      <c r="BLT35" s="9"/>
      <c r="BLU35" s="9"/>
      <c r="BLV35" s="9"/>
      <c r="BLW35" s="9"/>
      <c r="BLX35" s="9"/>
      <c r="BLY35" s="9"/>
      <c r="BLZ35" s="9"/>
      <c r="BMA35" s="9"/>
      <c r="BMB35" s="9"/>
      <c r="BMC35" s="9"/>
      <c r="BMD35" s="9"/>
      <c r="BME35" s="9"/>
      <c r="BMF35" s="9"/>
      <c r="BMG35" s="9"/>
      <c r="BMH35" s="9"/>
      <c r="BMI35" s="9"/>
      <c r="BMJ35" s="9"/>
      <c r="BMK35" s="9"/>
      <c r="BML35" s="9"/>
      <c r="BMM35" s="9"/>
      <c r="BMN35" s="9"/>
      <c r="BMO35" s="9"/>
      <c r="BMP35" s="9"/>
      <c r="BMQ35" s="9"/>
      <c r="BMR35" s="9"/>
      <c r="BMS35" s="9"/>
      <c r="BMT35" s="9"/>
      <c r="BMU35" s="9"/>
      <c r="BMV35" s="9"/>
      <c r="BMW35" s="9"/>
      <c r="BMX35" s="9"/>
      <c r="BMY35" s="9"/>
      <c r="BMZ35" s="9"/>
      <c r="BNA35" s="9"/>
      <c r="BNB35" s="9"/>
      <c r="BNC35" s="9"/>
      <c r="BND35" s="9"/>
      <c r="BNE35" s="9"/>
      <c r="BNF35" s="9"/>
      <c r="BNG35" s="9"/>
      <c r="BNH35" s="9"/>
      <c r="BNI35" s="9"/>
      <c r="BNJ35" s="9"/>
      <c r="BNK35" s="9"/>
      <c r="BNL35" s="9"/>
      <c r="BNM35" s="9"/>
      <c r="BNN35" s="9"/>
      <c r="BNO35" s="9"/>
      <c r="BNP35" s="9"/>
      <c r="BNQ35" s="9"/>
      <c r="BNR35" s="9"/>
      <c r="BNS35" s="9"/>
      <c r="BNT35" s="9"/>
      <c r="BNU35" s="9"/>
      <c r="BNV35" s="9"/>
      <c r="BNW35" s="9"/>
      <c r="BNX35" s="9"/>
      <c r="BNY35" s="9"/>
      <c r="BNZ35" s="9"/>
      <c r="BOA35" s="9"/>
      <c r="BOB35" s="9"/>
      <c r="BOC35" s="9"/>
      <c r="BOD35" s="9"/>
      <c r="BOE35" s="9"/>
      <c r="BOF35" s="9"/>
      <c r="BOG35" s="9"/>
      <c r="BOH35" s="9"/>
      <c r="BOI35" s="9"/>
      <c r="BOJ35" s="9"/>
      <c r="BOK35" s="9"/>
      <c r="BOL35" s="9"/>
      <c r="BOM35" s="9"/>
      <c r="BON35" s="9"/>
      <c r="BOO35" s="9"/>
      <c r="BOP35" s="9"/>
      <c r="BOQ35" s="9"/>
      <c r="BOR35" s="9"/>
      <c r="BOS35" s="9"/>
      <c r="BOT35" s="9"/>
      <c r="BOU35" s="9"/>
      <c r="BOV35" s="9"/>
      <c r="BOW35" s="9"/>
      <c r="BOX35" s="9"/>
      <c r="BOY35" s="9"/>
      <c r="BOZ35" s="9"/>
      <c r="BPA35" s="9"/>
      <c r="BPB35" s="9"/>
      <c r="BPC35" s="9"/>
      <c r="BPD35" s="9"/>
      <c r="BPE35" s="9"/>
      <c r="BPF35" s="9"/>
      <c r="BPG35" s="9"/>
      <c r="BPH35" s="9"/>
      <c r="BPI35" s="9"/>
      <c r="BPJ35" s="9"/>
      <c r="BPK35" s="9"/>
      <c r="BPL35" s="9"/>
      <c r="BPM35" s="9"/>
      <c r="BPN35" s="9"/>
      <c r="BPO35" s="9"/>
      <c r="BPP35" s="9"/>
      <c r="BPQ35" s="9"/>
      <c r="BPR35" s="9"/>
      <c r="BPS35" s="9"/>
      <c r="BPT35" s="9"/>
      <c r="BPU35" s="9"/>
      <c r="BPV35" s="9"/>
      <c r="BPW35" s="9"/>
      <c r="BPX35" s="9"/>
      <c r="BPY35" s="9"/>
      <c r="BPZ35" s="9"/>
      <c r="BQA35" s="9"/>
      <c r="BQB35" s="9"/>
      <c r="BQC35" s="9"/>
      <c r="BQD35" s="9"/>
      <c r="BQE35" s="9"/>
      <c r="BQF35" s="9"/>
      <c r="BQG35" s="9"/>
      <c r="BQH35" s="9"/>
      <c r="BQI35" s="9"/>
      <c r="BQJ35" s="9"/>
      <c r="BQK35" s="9"/>
      <c r="BQL35" s="9"/>
      <c r="BQM35" s="9"/>
      <c r="BQN35" s="9"/>
      <c r="BQO35" s="9"/>
      <c r="BQP35" s="9"/>
      <c r="BQQ35" s="9"/>
      <c r="BQR35" s="9"/>
      <c r="BQS35" s="9"/>
      <c r="BQT35" s="9"/>
      <c r="BQU35" s="9"/>
      <c r="BQV35" s="9"/>
      <c r="BQW35" s="9"/>
      <c r="BQX35" s="9"/>
      <c r="BQY35" s="9"/>
      <c r="BQZ35" s="9"/>
      <c r="BRA35" s="9"/>
      <c r="BRB35" s="9"/>
      <c r="BRC35" s="9"/>
      <c r="BRD35" s="9"/>
      <c r="BRE35" s="9"/>
      <c r="BRF35" s="9"/>
      <c r="BRG35" s="9"/>
      <c r="BRH35" s="9"/>
      <c r="BRI35" s="9"/>
      <c r="BRJ35" s="9"/>
      <c r="BRK35" s="9"/>
      <c r="BRL35" s="9"/>
      <c r="BRM35" s="9"/>
      <c r="BRN35" s="9"/>
      <c r="BRO35" s="9"/>
      <c r="BRP35" s="9"/>
      <c r="BRQ35" s="9"/>
      <c r="BRR35" s="9"/>
      <c r="BRS35" s="9"/>
      <c r="BRT35" s="9"/>
      <c r="BRU35" s="9"/>
      <c r="BRV35" s="9"/>
      <c r="BRW35" s="9"/>
      <c r="BRX35" s="9"/>
      <c r="BRY35" s="9"/>
      <c r="BRZ35" s="9"/>
      <c r="BSA35" s="9"/>
      <c r="BSB35" s="9"/>
      <c r="BSC35" s="9"/>
      <c r="BSD35" s="9"/>
      <c r="BSE35" s="9"/>
      <c r="BSF35" s="9"/>
      <c r="BSG35" s="9"/>
      <c r="BSH35" s="9"/>
      <c r="BSI35" s="9"/>
      <c r="BSJ35" s="9"/>
      <c r="BSK35" s="9"/>
      <c r="BSL35" s="9"/>
      <c r="BSM35" s="9"/>
      <c r="BSN35" s="9"/>
      <c r="BSO35" s="9"/>
      <c r="BSP35" s="9"/>
      <c r="BSQ35" s="9"/>
      <c r="BSR35" s="9"/>
      <c r="BSS35" s="9"/>
      <c r="BST35" s="9"/>
      <c r="BSU35" s="9"/>
      <c r="BSV35" s="9"/>
      <c r="BSW35" s="9"/>
      <c r="BSX35" s="9"/>
      <c r="BSY35" s="9"/>
      <c r="BSZ35" s="9"/>
      <c r="BTA35" s="9"/>
      <c r="BTB35" s="9"/>
      <c r="BTC35" s="9"/>
      <c r="BTD35" s="9"/>
      <c r="BTE35" s="9"/>
      <c r="BTF35" s="9"/>
      <c r="BTG35" s="9"/>
      <c r="BTH35" s="9"/>
      <c r="BTI35" s="9"/>
      <c r="BTJ35" s="9"/>
      <c r="BTK35" s="9"/>
      <c r="BTL35" s="9"/>
      <c r="BTM35" s="9"/>
      <c r="BTN35" s="9"/>
      <c r="BTO35" s="9"/>
      <c r="BTP35" s="9"/>
      <c r="BTQ35" s="9"/>
      <c r="BTR35" s="9"/>
      <c r="BTS35" s="9"/>
      <c r="BTT35" s="9"/>
      <c r="BTU35" s="9"/>
      <c r="BTV35" s="9"/>
      <c r="BTW35" s="9"/>
      <c r="BTX35" s="9"/>
      <c r="BTY35" s="9"/>
      <c r="BTZ35" s="9"/>
      <c r="BUA35" s="9"/>
      <c r="BUB35" s="9"/>
      <c r="BUC35" s="9"/>
      <c r="BUD35" s="9"/>
      <c r="BUE35" s="9"/>
      <c r="BUF35" s="9"/>
      <c r="BUG35" s="9"/>
      <c r="BUH35" s="9"/>
      <c r="BUI35" s="9"/>
      <c r="BUJ35" s="9"/>
      <c r="BUK35" s="9"/>
      <c r="BUL35" s="9"/>
      <c r="BUM35" s="9"/>
      <c r="BUN35" s="9"/>
      <c r="BUO35" s="9"/>
      <c r="BUP35" s="9"/>
      <c r="BUQ35" s="9"/>
      <c r="BUR35" s="9"/>
      <c r="BUS35" s="9"/>
      <c r="BUT35" s="9"/>
      <c r="BUU35" s="9"/>
      <c r="BUV35" s="9"/>
      <c r="BUW35" s="9"/>
      <c r="BUX35" s="9"/>
      <c r="BUY35" s="9"/>
      <c r="BUZ35" s="9"/>
      <c r="BVA35" s="9"/>
      <c r="BVB35" s="9"/>
      <c r="BVC35" s="9"/>
      <c r="BVD35" s="9"/>
      <c r="BVE35" s="9"/>
      <c r="BVF35" s="9"/>
      <c r="BVG35" s="9"/>
      <c r="BVH35" s="9"/>
      <c r="BVI35" s="9"/>
      <c r="BVJ35" s="9"/>
      <c r="BVK35" s="9"/>
      <c r="BVL35" s="9"/>
      <c r="BVM35" s="9"/>
      <c r="BVN35" s="9"/>
      <c r="BVO35" s="9"/>
      <c r="BVP35" s="9"/>
      <c r="BVQ35" s="9"/>
      <c r="BVR35" s="9"/>
      <c r="BVS35" s="9"/>
      <c r="BVT35" s="9"/>
      <c r="BVU35" s="9"/>
      <c r="BVV35" s="9"/>
      <c r="BVW35" s="9"/>
      <c r="BVX35" s="9"/>
      <c r="BVY35" s="9"/>
      <c r="BVZ35" s="9"/>
      <c r="BWA35" s="9"/>
      <c r="BWB35" s="9"/>
      <c r="BWC35" s="9"/>
      <c r="BWD35" s="9"/>
      <c r="BWE35" s="9"/>
      <c r="BWF35" s="9"/>
      <c r="BWG35" s="9"/>
      <c r="BWH35" s="9"/>
      <c r="BWI35" s="9"/>
      <c r="BWJ35" s="9"/>
      <c r="BWK35" s="9"/>
      <c r="BWL35" s="9"/>
      <c r="BWM35" s="9"/>
      <c r="BWN35" s="9"/>
      <c r="BWO35" s="9"/>
      <c r="BWP35" s="9"/>
      <c r="BWQ35" s="9"/>
      <c r="BWR35" s="9"/>
      <c r="BWS35" s="9"/>
      <c r="BWT35" s="9"/>
      <c r="BWU35" s="9"/>
      <c r="BWV35" s="9"/>
      <c r="BWW35" s="9"/>
      <c r="BWX35" s="9"/>
      <c r="BWY35" s="9"/>
      <c r="BWZ35" s="9"/>
      <c r="BXA35" s="9"/>
      <c r="BXB35" s="9"/>
      <c r="BXC35" s="9"/>
      <c r="BXD35" s="9"/>
      <c r="BXE35" s="9"/>
      <c r="BXF35" s="9"/>
      <c r="BXG35" s="9"/>
      <c r="BXH35" s="9"/>
      <c r="BXI35" s="9"/>
      <c r="BXJ35" s="9"/>
      <c r="BXK35" s="9"/>
      <c r="BXL35" s="9"/>
      <c r="BXM35" s="9"/>
      <c r="BXN35" s="9"/>
      <c r="BXO35" s="9"/>
      <c r="BXP35" s="9"/>
      <c r="BXQ35" s="9"/>
      <c r="BXR35" s="9"/>
      <c r="BXS35" s="9"/>
      <c r="BXT35" s="9"/>
      <c r="BXU35" s="9"/>
      <c r="BXV35" s="9"/>
      <c r="BXW35" s="9"/>
      <c r="BXX35" s="9"/>
      <c r="BXY35" s="9"/>
      <c r="BXZ35" s="9"/>
      <c r="BYA35" s="9"/>
      <c r="BYB35" s="9"/>
      <c r="BYC35" s="9"/>
      <c r="BYD35" s="9"/>
      <c r="BYE35" s="9"/>
      <c r="BYF35" s="9"/>
      <c r="BYG35" s="9"/>
      <c r="BYH35" s="9"/>
      <c r="BYI35" s="9"/>
      <c r="BYJ35" s="9"/>
      <c r="BYK35" s="9"/>
      <c r="BYL35" s="9"/>
      <c r="BYM35" s="9"/>
      <c r="BYN35" s="9"/>
      <c r="BYO35" s="9"/>
      <c r="BYP35" s="9"/>
      <c r="BYQ35" s="9"/>
      <c r="BYR35" s="9"/>
      <c r="BYS35" s="9"/>
      <c r="BYT35" s="9"/>
      <c r="BYU35" s="9"/>
      <c r="BYV35" s="9"/>
      <c r="BYW35" s="9"/>
      <c r="BYX35" s="9"/>
      <c r="BYY35" s="9"/>
      <c r="BYZ35" s="9"/>
      <c r="BZA35" s="9"/>
      <c r="BZB35" s="9"/>
      <c r="BZC35" s="9"/>
      <c r="BZD35" s="9"/>
      <c r="BZE35" s="9"/>
      <c r="BZF35" s="9"/>
      <c r="BZG35" s="9"/>
      <c r="BZH35" s="9"/>
      <c r="BZI35" s="9"/>
      <c r="BZJ35" s="9"/>
      <c r="BZK35" s="9"/>
      <c r="BZL35" s="9"/>
      <c r="BZM35" s="9"/>
      <c r="BZN35" s="9"/>
      <c r="BZO35" s="9"/>
      <c r="BZP35" s="9"/>
      <c r="BZQ35" s="9"/>
      <c r="BZR35" s="9"/>
      <c r="BZS35" s="9"/>
      <c r="BZT35" s="9"/>
      <c r="BZU35" s="9"/>
      <c r="BZV35" s="9"/>
      <c r="BZW35" s="9"/>
      <c r="BZX35" s="9"/>
      <c r="BZY35" s="9"/>
      <c r="BZZ35" s="9"/>
      <c r="CAA35" s="9"/>
      <c r="CAB35" s="9"/>
      <c r="CAC35" s="9"/>
      <c r="CAD35" s="9"/>
      <c r="CAE35" s="9"/>
      <c r="CAF35" s="9"/>
      <c r="CAG35" s="9"/>
      <c r="CAH35" s="9"/>
      <c r="CAI35" s="9"/>
      <c r="CAJ35" s="9"/>
      <c r="CAK35" s="9"/>
      <c r="CAL35" s="9"/>
      <c r="CAM35" s="9"/>
      <c r="CAN35" s="9"/>
      <c r="CAO35" s="9"/>
      <c r="CAP35" s="9"/>
      <c r="CAQ35" s="9"/>
      <c r="CAR35" s="9"/>
      <c r="CAS35" s="9"/>
      <c r="CAT35" s="9"/>
      <c r="CAU35" s="9"/>
      <c r="CAV35" s="9"/>
      <c r="CAW35" s="9"/>
      <c r="CAX35" s="9"/>
      <c r="CAY35" s="9"/>
      <c r="CAZ35" s="9"/>
      <c r="CBA35" s="9"/>
      <c r="CBB35" s="9"/>
      <c r="CBC35" s="9"/>
      <c r="CBD35" s="9"/>
      <c r="CBE35" s="9"/>
      <c r="CBF35" s="9"/>
      <c r="CBG35" s="9"/>
      <c r="CBH35" s="9"/>
      <c r="CBI35" s="9"/>
      <c r="CBJ35" s="9"/>
      <c r="CBK35" s="9"/>
      <c r="CBL35" s="9"/>
      <c r="CBM35" s="9"/>
      <c r="CBN35" s="9"/>
      <c r="CBO35" s="9"/>
      <c r="CBP35" s="9"/>
      <c r="CBQ35" s="9"/>
      <c r="CBR35" s="9"/>
      <c r="CBS35" s="9"/>
      <c r="CBT35" s="9"/>
      <c r="CBU35" s="9"/>
      <c r="CBV35" s="9"/>
      <c r="CBW35" s="9"/>
      <c r="CBX35" s="9"/>
      <c r="CBY35" s="9"/>
      <c r="CBZ35" s="9"/>
      <c r="CCA35" s="9"/>
      <c r="CCB35" s="9"/>
      <c r="CCC35" s="9"/>
      <c r="CCD35" s="9"/>
      <c r="CCE35" s="9"/>
      <c r="CCF35" s="9"/>
      <c r="CCG35" s="9"/>
      <c r="CCH35" s="9"/>
      <c r="CCI35" s="9"/>
      <c r="CCJ35" s="9"/>
      <c r="CCK35" s="9"/>
      <c r="CCL35" s="9"/>
      <c r="CCM35" s="9"/>
      <c r="CCN35" s="9"/>
      <c r="CCO35" s="9"/>
      <c r="CCP35" s="9"/>
      <c r="CCQ35" s="9"/>
      <c r="CCR35" s="9"/>
      <c r="CCS35" s="9"/>
      <c r="CCT35" s="9"/>
      <c r="CCU35" s="9"/>
      <c r="CCV35" s="9"/>
      <c r="CCW35" s="9"/>
      <c r="CCX35" s="9"/>
      <c r="CCY35" s="9"/>
      <c r="CCZ35" s="9"/>
      <c r="CDA35" s="9"/>
      <c r="CDB35" s="9"/>
      <c r="CDC35" s="9"/>
      <c r="CDD35" s="9"/>
      <c r="CDE35" s="9"/>
      <c r="CDF35" s="9"/>
      <c r="CDG35" s="9"/>
      <c r="CDH35" s="9"/>
      <c r="CDI35" s="9"/>
      <c r="CDJ35" s="9"/>
      <c r="CDK35" s="9"/>
      <c r="CDL35" s="9"/>
      <c r="CDM35" s="9"/>
      <c r="CDN35" s="9"/>
      <c r="CDO35" s="9"/>
      <c r="CDP35" s="9"/>
      <c r="CDQ35" s="9"/>
      <c r="CDR35" s="9"/>
      <c r="CDS35" s="9"/>
      <c r="CDT35" s="9"/>
      <c r="CDU35" s="9"/>
      <c r="CDV35" s="9"/>
      <c r="CDW35" s="9"/>
      <c r="CDX35" s="9"/>
      <c r="CDY35" s="9"/>
      <c r="CDZ35" s="9"/>
      <c r="CEA35" s="9"/>
      <c r="CEB35" s="9"/>
      <c r="CEC35" s="9"/>
      <c r="CED35" s="9"/>
      <c r="CEE35" s="9"/>
      <c r="CEF35" s="9"/>
      <c r="CEG35" s="9"/>
      <c r="CEH35" s="9"/>
      <c r="CEI35" s="9"/>
      <c r="CEJ35" s="9"/>
      <c r="CEK35" s="9"/>
      <c r="CEL35" s="9"/>
      <c r="CEM35" s="9"/>
      <c r="CEN35" s="9"/>
      <c r="CEO35" s="9"/>
      <c r="CEP35" s="9"/>
      <c r="CEQ35" s="9"/>
      <c r="CER35" s="9"/>
      <c r="CES35" s="9"/>
      <c r="CET35" s="9"/>
      <c r="CEU35" s="9"/>
      <c r="CEV35" s="9"/>
      <c r="CEW35" s="9"/>
      <c r="CEX35" s="9"/>
      <c r="CEY35" s="9"/>
      <c r="CEZ35" s="9"/>
      <c r="CFA35" s="9"/>
      <c r="CFB35" s="9"/>
      <c r="CFC35" s="9"/>
      <c r="CFD35" s="9"/>
      <c r="CFE35" s="9"/>
      <c r="CFF35" s="9"/>
      <c r="CFG35" s="9"/>
      <c r="CFH35" s="9"/>
      <c r="CFI35" s="9"/>
      <c r="CFJ35" s="9"/>
      <c r="CFK35" s="9"/>
      <c r="CFL35" s="9"/>
      <c r="CFM35" s="9"/>
      <c r="CFN35" s="9"/>
      <c r="CFO35" s="9"/>
      <c r="CFP35" s="9"/>
      <c r="CFQ35" s="9"/>
      <c r="CFR35" s="9"/>
      <c r="CFS35" s="9"/>
      <c r="CFT35" s="9"/>
      <c r="CFU35" s="9"/>
      <c r="CFV35" s="9"/>
      <c r="CFW35" s="9"/>
      <c r="CFX35" s="9"/>
      <c r="CFY35" s="9"/>
      <c r="CFZ35" s="9"/>
      <c r="CGA35" s="9"/>
      <c r="CGB35" s="9"/>
      <c r="CGC35" s="9"/>
      <c r="CGD35" s="9"/>
      <c r="CGE35" s="9"/>
      <c r="CGF35" s="9"/>
      <c r="CGG35" s="9"/>
      <c r="CGH35" s="9"/>
      <c r="CGI35" s="9"/>
      <c r="CGJ35" s="9"/>
      <c r="CGK35" s="9"/>
      <c r="CGL35" s="9"/>
      <c r="CGM35" s="9"/>
      <c r="CGN35" s="9"/>
      <c r="CGO35" s="9"/>
      <c r="CGP35" s="9"/>
      <c r="CGQ35" s="9"/>
      <c r="CGR35" s="9"/>
      <c r="CGS35" s="9"/>
      <c r="CGT35" s="9"/>
      <c r="CGU35" s="9"/>
      <c r="CGV35" s="9"/>
      <c r="CGW35" s="9"/>
      <c r="CGX35" s="9"/>
      <c r="CGY35" s="9"/>
      <c r="CGZ35" s="9"/>
      <c r="CHA35" s="9"/>
      <c r="CHB35" s="9"/>
      <c r="CHC35" s="9"/>
      <c r="CHD35" s="9"/>
      <c r="CHE35" s="9"/>
      <c r="CHF35" s="9"/>
      <c r="CHG35" s="9"/>
      <c r="CHH35" s="9"/>
      <c r="CHI35" s="9"/>
      <c r="CHJ35" s="9"/>
      <c r="CHK35" s="9"/>
      <c r="CHL35" s="9"/>
      <c r="CHM35" s="9"/>
      <c r="CHN35" s="9"/>
      <c r="CHO35" s="9"/>
      <c r="CHP35" s="9"/>
      <c r="CHQ35" s="9"/>
      <c r="CHR35" s="9"/>
      <c r="CHS35" s="9"/>
      <c r="CHT35" s="9"/>
      <c r="CHU35" s="9"/>
      <c r="CHV35" s="9"/>
      <c r="CHW35" s="9"/>
      <c r="CHX35" s="9"/>
      <c r="CHY35" s="9"/>
      <c r="CHZ35" s="9"/>
      <c r="CIA35" s="9"/>
      <c r="CIB35" s="9"/>
      <c r="CIC35" s="9"/>
      <c r="CID35" s="9"/>
      <c r="CIE35" s="9"/>
      <c r="CIF35" s="9"/>
      <c r="CIG35" s="9"/>
      <c r="CIH35" s="9"/>
      <c r="CII35" s="9"/>
      <c r="CIJ35" s="9"/>
      <c r="CIK35" s="9"/>
      <c r="CIL35" s="9"/>
      <c r="CIM35" s="9"/>
      <c r="CIN35" s="9"/>
      <c r="CIO35" s="9"/>
      <c r="CIP35" s="9"/>
      <c r="CIQ35" s="9"/>
      <c r="CIR35" s="9"/>
      <c r="CIS35" s="9"/>
      <c r="CIT35" s="9"/>
      <c r="CIU35" s="9"/>
      <c r="CIV35" s="9"/>
      <c r="CIW35" s="9"/>
      <c r="CIX35" s="9"/>
      <c r="CIY35" s="9"/>
      <c r="CIZ35" s="9"/>
      <c r="CJA35" s="9"/>
      <c r="CJB35" s="9"/>
      <c r="CJC35" s="9"/>
      <c r="CJD35" s="9"/>
      <c r="CJE35" s="9"/>
      <c r="CJF35" s="9"/>
      <c r="CJG35" s="9"/>
      <c r="CJH35" s="9"/>
      <c r="CJI35" s="9"/>
      <c r="CJJ35" s="9"/>
      <c r="CJK35" s="9"/>
      <c r="CJL35" s="9"/>
      <c r="CJM35" s="9"/>
      <c r="CJN35" s="9"/>
      <c r="CJO35" s="9"/>
      <c r="CJP35" s="9"/>
      <c r="CJQ35" s="9"/>
      <c r="CJR35" s="9"/>
      <c r="CJS35" s="9"/>
      <c r="CJT35" s="9"/>
      <c r="CJU35" s="9"/>
      <c r="CJV35" s="9"/>
      <c r="CJW35" s="9"/>
      <c r="CJX35" s="9"/>
      <c r="CJY35" s="9"/>
      <c r="CJZ35" s="9"/>
      <c r="CKA35" s="9"/>
      <c r="CKB35" s="9"/>
      <c r="CKC35" s="9"/>
      <c r="CKD35" s="9"/>
      <c r="CKE35" s="9"/>
      <c r="CKF35" s="9"/>
      <c r="CKG35" s="9"/>
      <c r="CKH35" s="9"/>
      <c r="CKI35" s="9"/>
      <c r="CKJ35" s="9"/>
      <c r="CKK35" s="9"/>
      <c r="CKL35" s="9"/>
      <c r="CKM35" s="9"/>
      <c r="CKN35" s="9"/>
      <c r="CKO35" s="9"/>
      <c r="CKP35" s="9"/>
      <c r="CKQ35" s="9"/>
      <c r="CKR35" s="9"/>
      <c r="CKS35" s="9"/>
      <c r="CKT35" s="9"/>
      <c r="CKU35" s="9"/>
      <c r="CKV35" s="9"/>
      <c r="CKW35" s="9"/>
      <c r="CKX35" s="9"/>
      <c r="CKY35" s="9"/>
      <c r="CKZ35" s="9"/>
      <c r="CLA35" s="9"/>
      <c r="CLB35" s="9"/>
      <c r="CLC35" s="9"/>
      <c r="CLD35" s="9"/>
      <c r="CLE35" s="9"/>
      <c r="CLF35" s="9"/>
      <c r="CLG35" s="9"/>
      <c r="CLH35" s="9"/>
      <c r="CLI35" s="9"/>
      <c r="CLJ35" s="9"/>
      <c r="CLK35" s="9"/>
      <c r="CLL35" s="9"/>
      <c r="CLM35" s="9"/>
      <c r="CLN35" s="9"/>
      <c r="CLO35" s="9"/>
      <c r="CLP35" s="9"/>
      <c r="CLQ35" s="9"/>
      <c r="CLR35" s="9"/>
      <c r="CLS35" s="9"/>
      <c r="CLT35" s="9"/>
      <c r="CLU35" s="9"/>
      <c r="CLV35" s="9"/>
      <c r="CLW35" s="9"/>
      <c r="CLX35" s="9"/>
      <c r="CLY35" s="9"/>
      <c r="CLZ35" s="9"/>
      <c r="CMA35" s="9"/>
      <c r="CMB35" s="9"/>
      <c r="CMC35" s="9"/>
      <c r="CMD35" s="9"/>
      <c r="CME35" s="9"/>
      <c r="CMF35" s="9"/>
      <c r="CMG35" s="9"/>
      <c r="CMH35" s="9"/>
      <c r="CMI35" s="9"/>
      <c r="CMJ35" s="9"/>
      <c r="CMK35" s="9"/>
      <c r="CML35" s="9"/>
      <c r="CMM35" s="9"/>
      <c r="CMN35" s="9"/>
      <c r="CMO35" s="9"/>
      <c r="CMP35" s="9"/>
      <c r="CMQ35" s="9"/>
      <c r="CMR35" s="9"/>
      <c r="CMS35" s="9"/>
      <c r="CMT35" s="9"/>
      <c r="CMU35" s="9"/>
      <c r="CMV35" s="9"/>
      <c r="CMW35" s="9"/>
      <c r="CMX35" s="9"/>
      <c r="CMY35" s="9"/>
      <c r="CMZ35" s="9"/>
      <c r="CNA35" s="9"/>
      <c r="CNB35" s="9"/>
      <c r="CNC35" s="9"/>
      <c r="CND35" s="9"/>
      <c r="CNE35" s="9"/>
      <c r="CNF35" s="9"/>
      <c r="CNG35" s="9"/>
      <c r="CNH35" s="9"/>
      <c r="CNI35" s="9"/>
      <c r="CNJ35" s="9"/>
      <c r="CNK35" s="9"/>
      <c r="CNL35" s="9"/>
      <c r="CNM35" s="9"/>
      <c r="CNN35" s="9"/>
      <c r="CNO35" s="9"/>
      <c r="CNP35" s="9"/>
      <c r="CNQ35" s="9"/>
      <c r="CNR35" s="9"/>
      <c r="CNS35" s="9"/>
      <c r="CNT35" s="9"/>
      <c r="CNU35" s="9"/>
      <c r="CNV35" s="9"/>
      <c r="CNW35" s="9"/>
      <c r="CNX35" s="9"/>
      <c r="CNY35" s="9"/>
      <c r="CNZ35" s="9"/>
      <c r="COA35" s="9"/>
      <c r="COB35" s="9"/>
      <c r="COC35" s="9"/>
      <c r="COD35" s="9"/>
      <c r="COE35" s="9"/>
      <c r="COF35" s="9"/>
      <c r="COG35" s="9"/>
      <c r="COH35" s="9"/>
      <c r="COI35" s="9"/>
      <c r="COJ35" s="9"/>
      <c r="COK35" s="9"/>
      <c r="COL35" s="9"/>
      <c r="COM35" s="9"/>
      <c r="CON35" s="9"/>
      <c r="COO35" s="9"/>
      <c r="COP35" s="9"/>
      <c r="COQ35" s="9"/>
      <c r="COR35" s="9"/>
      <c r="COS35" s="9"/>
      <c r="COT35" s="9"/>
      <c r="COU35" s="9"/>
      <c r="COV35" s="9"/>
      <c r="COW35" s="9"/>
      <c r="COX35" s="9"/>
      <c r="COY35" s="9"/>
      <c r="COZ35" s="9"/>
      <c r="CPA35" s="9"/>
      <c r="CPB35" s="9"/>
      <c r="CPC35" s="9"/>
      <c r="CPD35" s="9"/>
      <c r="CPE35" s="9"/>
      <c r="CPF35" s="9"/>
      <c r="CPG35" s="9"/>
      <c r="CPH35" s="9"/>
      <c r="CPI35" s="9"/>
      <c r="CPJ35" s="9"/>
      <c r="CPK35" s="9"/>
      <c r="CPL35" s="9"/>
      <c r="CPM35" s="9"/>
      <c r="CPN35" s="9"/>
      <c r="CPO35" s="9"/>
      <c r="CPP35" s="9"/>
      <c r="CPQ35" s="9"/>
      <c r="CPR35" s="9"/>
      <c r="CPS35" s="9"/>
      <c r="CPT35" s="9"/>
      <c r="CPU35" s="9"/>
      <c r="CPV35" s="9"/>
      <c r="CPW35" s="9"/>
      <c r="CPX35" s="9"/>
      <c r="CPY35" s="9"/>
      <c r="CPZ35" s="9"/>
      <c r="CQA35" s="9"/>
      <c r="CQB35" s="9"/>
      <c r="CQC35" s="9"/>
      <c r="CQD35" s="9"/>
      <c r="CQE35" s="9"/>
      <c r="CQF35" s="9"/>
      <c r="CQG35" s="9"/>
      <c r="CQH35" s="9"/>
      <c r="CQI35" s="9"/>
      <c r="CQJ35" s="9"/>
      <c r="CQK35" s="9"/>
      <c r="CQL35" s="9"/>
      <c r="CQM35" s="9"/>
      <c r="CQN35" s="9"/>
      <c r="CQO35" s="9"/>
      <c r="CQP35" s="9"/>
      <c r="CQQ35" s="9"/>
      <c r="CQR35" s="9"/>
      <c r="CQS35" s="9"/>
      <c r="CQT35" s="9"/>
      <c r="CQU35" s="9"/>
      <c r="CQV35" s="9"/>
      <c r="CQW35" s="9"/>
      <c r="CQX35" s="9"/>
      <c r="CQY35" s="9"/>
      <c r="CQZ35" s="9"/>
      <c r="CRA35" s="9"/>
      <c r="CRB35" s="9"/>
      <c r="CRC35" s="9"/>
      <c r="CRD35" s="9"/>
      <c r="CRE35" s="9"/>
      <c r="CRF35" s="9"/>
      <c r="CRG35" s="9"/>
      <c r="CRH35" s="9"/>
      <c r="CRI35" s="9"/>
      <c r="CRJ35" s="9"/>
      <c r="CRK35" s="9"/>
      <c r="CRL35" s="9"/>
      <c r="CRM35" s="9"/>
      <c r="CRN35" s="9"/>
      <c r="CRO35" s="9"/>
      <c r="CRP35" s="9"/>
      <c r="CRQ35" s="9"/>
      <c r="CRR35" s="9"/>
      <c r="CRS35" s="9"/>
      <c r="CRT35" s="9"/>
      <c r="CRU35" s="9"/>
      <c r="CRV35" s="9"/>
      <c r="CRW35" s="9"/>
      <c r="CRX35" s="9"/>
      <c r="CRY35" s="9"/>
      <c r="CRZ35" s="9"/>
      <c r="CSA35" s="9"/>
      <c r="CSB35" s="9"/>
      <c r="CSC35" s="9"/>
      <c r="CSD35" s="9"/>
      <c r="CSE35" s="9"/>
      <c r="CSF35" s="9"/>
      <c r="CSG35" s="9"/>
      <c r="CSH35" s="9"/>
      <c r="CSI35" s="9"/>
      <c r="CSJ35" s="9"/>
      <c r="CSK35" s="9"/>
      <c r="CSL35" s="9"/>
      <c r="CSM35" s="9"/>
      <c r="CSN35" s="9"/>
      <c r="CSO35" s="9"/>
      <c r="CSP35" s="9"/>
      <c r="CSQ35" s="9"/>
      <c r="CSR35" s="9"/>
      <c r="CSS35" s="9"/>
      <c r="CST35" s="9"/>
      <c r="CSU35" s="9"/>
      <c r="CSV35" s="9"/>
      <c r="CSW35" s="9"/>
      <c r="CSX35" s="9"/>
      <c r="CSY35" s="9"/>
      <c r="CSZ35" s="9"/>
      <c r="CTA35" s="9"/>
      <c r="CTB35" s="9"/>
      <c r="CTC35" s="9"/>
      <c r="CTD35" s="9"/>
      <c r="CTE35" s="9"/>
      <c r="CTF35" s="9"/>
      <c r="CTG35" s="9"/>
      <c r="CTH35" s="9"/>
      <c r="CTI35" s="9"/>
      <c r="CTJ35" s="9"/>
      <c r="CTK35" s="9"/>
      <c r="CTL35" s="9"/>
      <c r="CTM35" s="9"/>
      <c r="CTN35" s="9"/>
      <c r="CTO35" s="9"/>
      <c r="CTP35" s="9"/>
      <c r="CTQ35" s="9"/>
      <c r="CTR35" s="9"/>
      <c r="CTS35" s="9"/>
      <c r="CTT35" s="9"/>
      <c r="CTU35" s="9"/>
      <c r="CTV35" s="9"/>
      <c r="CTW35" s="9"/>
      <c r="CTX35" s="9"/>
      <c r="CTY35" s="9"/>
      <c r="CTZ35" s="9"/>
    </row>
    <row r="36" spans="1:2574" s="11" customFormat="1" ht="15.6" customHeight="1" x14ac:dyDescent="0.3">
      <c r="A36" s="75">
        <v>5</v>
      </c>
      <c r="B36" s="70" t="s">
        <v>77</v>
      </c>
      <c r="C36" s="5" t="s">
        <v>71</v>
      </c>
      <c r="D36" s="82" t="s">
        <v>72</v>
      </c>
      <c r="E36" s="6">
        <v>304</v>
      </c>
      <c r="F36" s="85" t="s">
        <v>91</v>
      </c>
      <c r="G36" s="86"/>
      <c r="H36" s="5" t="s">
        <v>63</v>
      </c>
      <c r="I36" s="71">
        <v>1500</v>
      </c>
      <c r="J36" s="5">
        <f t="shared" si="0"/>
        <v>250</v>
      </c>
      <c r="K36" s="72">
        <v>2.71</v>
      </c>
      <c r="L36" s="72">
        <f t="shared" si="1"/>
        <v>4065</v>
      </c>
      <c r="M36" s="73">
        <v>1.0959299999999998</v>
      </c>
      <c r="N36" s="73">
        <f t="shared" si="2"/>
        <v>1643.8949999999998</v>
      </c>
      <c r="O36" s="5">
        <v>73064000</v>
      </c>
      <c r="P36" s="60" t="s">
        <v>106</v>
      </c>
      <c r="Q36" s="4"/>
      <c r="R36" s="43" t="s">
        <v>62</v>
      </c>
      <c r="S36" s="64"/>
      <c r="T36" s="13"/>
      <c r="U36" s="13"/>
      <c r="V36" s="13"/>
      <c r="W36" s="13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</row>
    <row r="37" spans="1:2574" s="11" customFormat="1" ht="15.6" x14ac:dyDescent="0.3">
      <c r="A37" s="75">
        <v>6</v>
      </c>
      <c r="B37" s="70" t="s">
        <v>78</v>
      </c>
      <c r="C37" s="5" t="s">
        <v>71</v>
      </c>
      <c r="D37" s="82" t="s">
        <v>72</v>
      </c>
      <c r="E37" s="6">
        <v>304</v>
      </c>
      <c r="F37" s="85" t="s">
        <v>92</v>
      </c>
      <c r="G37" s="86"/>
      <c r="H37" s="5" t="s">
        <v>63</v>
      </c>
      <c r="I37" s="71">
        <v>1500</v>
      </c>
      <c r="J37" s="5">
        <f t="shared" si="0"/>
        <v>250</v>
      </c>
      <c r="K37" s="72">
        <v>3.64</v>
      </c>
      <c r="L37" s="72">
        <f t="shared" si="1"/>
        <v>5460</v>
      </c>
      <c r="M37" s="73">
        <v>1.4731199999999998</v>
      </c>
      <c r="N37" s="73">
        <f t="shared" si="2"/>
        <v>2209.6799999999998</v>
      </c>
      <c r="O37" s="5">
        <v>73064000</v>
      </c>
      <c r="P37" s="60" t="s">
        <v>106</v>
      </c>
      <c r="Q37" s="4"/>
      <c r="R37" s="43" t="s">
        <v>62</v>
      </c>
      <c r="S37" s="65"/>
      <c r="T37" s="14"/>
      <c r="U37" s="14"/>
      <c r="V37" s="14"/>
      <c r="W37" s="14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  <c r="ADS37" s="9"/>
      <c r="ADT37" s="9"/>
      <c r="ADU37" s="9"/>
      <c r="ADV37" s="9"/>
      <c r="ADW37" s="9"/>
      <c r="ADX37" s="9"/>
      <c r="ADY37" s="9"/>
      <c r="ADZ37" s="9"/>
      <c r="AEA37" s="9"/>
      <c r="AEB37" s="9"/>
      <c r="AEC37" s="9"/>
      <c r="AED37" s="9"/>
      <c r="AEE37" s="9"/>
      <c r="AEF37" s="9"/>
      <c r="AEG37" s="9"/>
      <c r="AEH37" s="9"/>
      <c r="AEI37" s="9"/>
      <c r="AEJ37" s="9"/>
      <c r="AEK37" s="9"/>
      <c r="AEL37" s="9"/>
      <c r="AEM37" s="9"/>
      <c r="AEN37" s="9"/>
      <c r="AEO37" s="9"/>
      <c r="AEP37" s="9"/>
      <c r="AEQ37" s="9"/>
      <c r="AER37" s="9"/>
      <c r="AES37" s="9"/>
      <c r="AET37" s="9"/>
      <c r="AEU37" s="9"/>
      <c r="AEV37" s="9"/>
      <c r="AEW37" s="9"/>
      <c r="AEX37" s="9"/>
      <c r="AEY37" s="9"/>
      <c r="AEZ37" s="9"/>
      <c r="AFA37" s="9"/>
      <c r="AFB37" s="9"/>
      <c r="AFC37" s="9"/>
      <c r="AFD37" s="9"/>
      <c r="AFE37" s="9"/>
      <c r="AFF37" s="9"/>
      <c r="AFG37" s="9"/>
      <c r="AFH37" s="9"/>
      <c r="AFI37" s="9"/>
      <c r="AFJ37" s="9"/>
      <c r="AFK37" s="9"/>
      <c r="AFL37" s="9"/>
      <c r="AFM37" s="9"/>
      <c r="AFN37" s="9"/>
      <c r="AFO37" s="9"/>
      <c r="AFP37" s="9"/>
      <c r="AFQ37" s="9"/>
      <c r="AFR37" s="9"/>
      <c r="AFS37" s="9"/>
      <c r="AFT37" s="9"/>
      <c r="AFU37" s="9"/>
      <c r="AFV37" s="9"/>
      <c r="AFW37" s="9"/>
      <c r="AFX37" s="9"/>
      <c r="AFY37" s="9"/>
      <c r="AFZ37" s="9"/>
      <c r="AGA37" s="9"/>
      <c r="AGB37" s="9"/>
      <c r="AGC37" s="9"/>
      <c r="AGD37" s="9"/>
      <c r="AGE37" s="9"/>
      <c r="AGF37" s="9"/>
      <c r="AGG37" s="9"/>
      <c r="AGH37" s="9"/>
      <c r="AGI37" s="9"/>
      <c r="AGJ37" s="9"/>
      <c r="AGK37" s="9"/>
      <c r="AGL37" s="9"/>
      <c r="AGM37" s="9"/>
      <c r="AGN37" s="9"/>
      <c r="AGO37" s="9"/>
      <c r="AGP37" s="9"/>
      <c r="AGQ37" s="9"/>
      <c r="AGR37" s="9"/>
      <c r="AGS37" s="9"/>
      <c r="AGT37" s="9"/>
      <c r="AGU37" s="9"/>
      <c r="AGV37" s="9"/>
      <c r="AGW37" s="9"/>
      <c r="AGX37" s="9"/>
      <c r="AGY37" s="9"/>
      <c r="AGZ37" s="9"/>
      <c r="AHA37" s="9"/>
      <c r="AHB37" s="9"/>
      <c r="AHC37" s="9"/>
      <c r="AHD37" s="9"/>
      <c r="AHE37" s="9"/>
      <c r="AHF37" s="9"/>
      <c r="AHG37" s="9"/>
      <c r="AHH37" s="9"/>
      <c r="AHI37" s="9"/>
      <c r="AHJ37" s="9"/>
      <c r="AHK37" s="9"/>
      <c r="AHL37" s="9"/>
      <c r="AHM37" s="9"/>
      <c r="AHN37" s="9"/>
      <c r="AHO37" s="9"/>
      <c r="AHP37" s="9"/>
      <c r="AHQ37" s="9"/>
      <c r="AHR37" s="9"/>
      <c r="AHS37" s="9"/>
      <c r="AHT37" s="9"/>
      <c r="AHU37" s="9"/>
      <c r="AHV37" s="9"/>
      <c r="AHW37" s="9"/>
      <c r="AHX37" s="9"/>
      <c r="AHY37" s="9"/>
      <c r="AHZ37" s="9"/>
      <c r="AIA37" s="9"/>
      <c r="AIB37" s="9"/>
      <c r="AIC37" s="9"/>
      <c r="AID37" s="9"/>
      <c r="AIE37" s="9"/>
      <c r="AIF37" s="9"/>
      <c r="AIG37" s="9"/>
      <c r="AIH37" s="9"/>
      <c r="AII37" s="9"/>
      <c r="AIJ37" s="9"/>
      <c r="AIK37" s="9"/>
      <c r="AIL37" s="9"/>
      <c r="AIM37" s="9"/>
      <c r="AIN37" s="9"/>
      <c r="AIO37" s="9"/>
      <c r="AIP37" s="9"/>
      <c r="AIQ37" s="9"/>
      <c r="AIR37" s="9"/>
      <c r="AIS37" s="9"/>
      <c r="AIT37" s="9"/>
      <c r="AIU37" s="9"/>
      <c r="AIV37" s="9"/>
      <c r="AIW37" s="9"/>
      <c r="AIX37" s="9"/>
      <c r="AIY37" s="9"/>
      <c r="AIZ37" s="9"/>
      <c r="AJA37" s="9"/>
      <c r="AJB37" s="9"/>
      <c r="AJC37" s="9"/>
      <c r="AJD37" s="9"/>
      <c r="AJE37" s="9"/>
      <c r="AJF37" s="9"/>
      <c r="AJG37" s="9"/>
      <c r="AJH37" s="9"/>
      <c r="AJI37" s="9"/>
      <c r="AJJ37" s="9"/>
      <c r="AJK37" s="9"/>
      <c r="AJL37" s="9"/>
      <c r="AJM37" s="9"/>
      <c r="AJN37" s="9"/>
      <c r="AJO37" s="9"/>
      <c r="AJP37" s="9"/>
      <c r="AJQ37" s="9"/>
      <c r="AJR37" s="9"/>
      <c r="AJS37" s="9"/>
      <c r="AJT37" s="9"/>
      <c r="AJU37" s="9"/>
      <c r="AJV37" s="9"/>
      <c r="AJW37" s="9"/>
      <c r="AJX37" s="9"/>
      <c r="AJY37" s="9"/>
      <c r="AJZ37" s="9"/>
      <c r="AKA37" s="9"/>
      <c r="AKB37" s="9"/>
      <c r="AKC37" s="9"/>
      <c r="AKD37" s="9"/>
      <c r="AKE37" s="9"/>
      <c r="AKF37" s="9"/>
      <c r="AKG37" s="9"/>
      <c r="AKH37" s="9"/>
      <c r="AKI37" s="9"/>
      <c r="AKJ37" s="9"/>
      <c r="AKK37" s="9"/>
      <c r="AKL37" s="9"/>
      <c r="AKM37" s="9"/>
      <c r="AKN37" s="9"/>
      <c r="AKO37" s="9"/>
      <c r="AKP37" s="9"/>
      <c r="AKQ37" s="9"/>
      <c r="AKR37" s="9"/>
      <c r="AKS37" s="9"/>
      <c r="AKT37" s="9"/>
      <c r="AKU37" s="9"/>
      <c r="AKV37" s="9"/>
      <c r="AKW37" s="9"/>
      <c r="AKX37" s="9"/>
      <c r="AKY37" s="9"/>
      <c r="AKZ37" s="9"/>
      <c r="ALA37" s="9"/>
      <c r="ALB37" s="9"/>
      <c r="ALC37" s="9"/>
      <c r="ALD37" s="9"/>
      <c r="ALE37" s="9"/>
      <c r="ALF37" s="9"/>
      <c r="ALG37" s="9"/>
      <c r="ALH37" s="9"/>
      <c r="ALI37" s="9"/>
      <c r="ALJ37" s="9"/>
      <c r="ALK37" s="9"/>
      <c r="ALL37" s="9"/>
      <c r="ALM37" s="9"/>
      <c r="ALN37" s="9"/>
      <c r="ALO37" s="9"/>
      <c r="ALP37" s="9"/>
      <c r="ALQ37" s="9"/>
      <c r="ALR37" s="9"/>
      <c r="ALS37" s="9"/>
      <c r="ALT37" s="9"/>
      <c r="ALU37" s="9"/>
      <c r="ALV37" s="9"/>
      <c r="ALW37" s="9"/>
      <c r="ALX37" s="9"/>
      <c r="ALY37" s="9"/>
      <c r="ALZ37" s="9"/>
      <c r="AMA37" s="9"/>
      <c r="AMB37" s="9"/>
      <c r="AMC37" s="9"/>
      <c r="AMD37" s="9"/>
      <c r="AME37" s="9"/>
      <c r="AMF37" s="9"/>
      <c r="AMG37" s="9"/>
      <c r="AMH37" s="9"/>
      <c r="AMI37" s="9"/>
      <c r="AMJ37" s="9"/>
      <c r="AMK37" s="9"/>
      <c r="AML37" s="9"/>
      <c r="AMM37" s="9"/>
      <c r="AMN37" s="9"/>
      <c r="AMO37" s="9"/>
      <c r="AMP37" s="9"/>
      <c r="AMQ37" s="9"/>
      <c r="AMR37" s="9"/>
      <c r="AMS37" s="9"/>
      <c r="AMT37" s="9"/>
      <c r="AMU37" s="9"/>
      <c r="AMV37" s="9"/>
      <c r="AMW37" s="9"/>
      <c r="AMX37" s="9"/>
      <c r="AMY37" s="9"/>
      <c r="AMZ37" s="9"/>
      <c r="ANA37" s="9"/>
      <c r="ANB37" s="9"/>
      <c r="ANC37" s="9"/>
      <c r="AND37" s="9"/>
      <c r="ANE37" s="9"/>
      <c r="ANF37" s="9"/>
      <c r="ANG37" s="9"/>
      <c r="ANH37" s="9"/>
      <c r="ANI37" s="9"/>
      <c r="ANJ37" s="9"/>
      <c r="ANK37" s="9"/>
      <c r="ANL37" s="9"/>
      <c r="ANM37" s="9"/>
      <c r="ANN37" s="9"/>
      <c r="ANO37" s="9"/>
      <c r="ANP37" s="9"/>
      <c r="ANQ37" s="9"/>
      <c r="ANR37" s="9"/>
      <c r="ANS37" s="9"/>
      <c r="ANT37" s="9"/>
      <c r="ANU37" s="9"/>
      <c r="ANV37" s="9"/>
      <c r="ANW37" s="9"/>
      <c r="ANX37" s="9"/>
      <c r="ANY37" s="9"/>
      <c r="ANZ37" s="9"/>
      <c r="AOA37" s="9"/>
      <c r="AOB37" s="9"/>
      <c r="AOC37" s="9"/>
      <c r="AOD37" s="9"/>
      <c r="AOE37" s="9"/>
      <c r="AOF37" s="9"/>
      <c r="AOG37" s="9"/>
      <c r="AOH37" s="9"/>
      <c r="AOI37" s="9"/>
      <c r="AOJ37" s="9"/>
      <c r="AOK37" s="9"/>
      <c r="AOL37" s="9"/>
      <c r="AOM37" s="9"/>
      <c r="AON37" s="9"/>
      <c r="AOO37" s="9"/>
      <c r="AOP37" s="9"/>
      <c r="AOQ37" s="9"/>
      <c r="AOR37" s="9"/>
      <c r="AOS37" s="9"/>
      <c r="AOT37" s="9"/>
      <c r="AOU37" s="9"/>
      <c r="AOV37" s="9"/>
      <c r="AOW37" s="9"/>
      <c r="AOX37" s="9"/>
      <c r="AOY37" s="9"/>
      <c r="AOZ37" s="9"/>
      <c r="APA37" s="9"/>
      <c r="APB37" s="9"/>
      <c r="APC37" s="9"/>
      <c r="APD37" s="9"/>
      <c r="APE37" s="9"/>
      <c r="APF37" s="9"/>
      <c r="APG37" s="9"/>
      <c r="APH37" s="9"/>
      <c r="API37" s="9"/>
      <c r="APJ37" s="9"/>
      <c r="APK37" s="9"/>
      <c r="APL37" s="9"/>
      <c r="APM37" s="9"/>
      <c r="APN37" s="9"/>
      <c r="APO37" s="9"/>
      <c r="APP37" s="9"/>
      <c r="APQ37" s="9"/>
      <c r="APR37" s="9"/>
      <c r="APS37" s="9"/>
      <c r="APT37" s="9"/>
      <c r="APU37" s="9"/>
      <c r="APV37" s="9"/>
      <c r="APW37" s="9"/>
      <c r="APX37" s="9"/>
      <c r="APY37" s="9"/>
      <c r="APZ37" s="9"/>
      <c r="AQA37" s="9"/>
      <c r="AQB37" s="9"/>
      <c r="AQC37" s="9"/>
      <c r="AQD37" s="9"/>
      <c r="AQE37" s="9"/>
      <c r="AQF37" s="9"/>
      <c r="AQG37" s="9"/>
      <c r="AQH37" s="9"/>
      <c r="AQI37" s="9"/>
      <c r="AQJ37" s="9"/>
      <c r="AQK37" s="9"/>
      <c r="AQL37" s="9"/>
      <c r="AQM37" s="9"/>
      <c r="AQN37" s="9"/>
      <c r="AQO37" s="9"/>
      <c r="AQP37" s="9"/>
      <c r="AQQ37" s="9"/>
      <c r="AQR37" s="9"/>
      <c r="AQS37" s="9"/>
      <c r="AQT37" s="9"/>
      <c r="AQU37" s="9"/>
      <c r="AQV37" s="9"/>
      <c r="AQW37" s="9"/>
      <c r="AQX37" s="9"/>
      <c r="AQY37" s="9"/>
      <c r="AQZ37" s="9"/>
      <c r="ARA37" s="9"/>
      <c r="ARB37" s="9"/>
      <c r="ARC37" s="9"/>
      <c r="ARD37" s="9"/>
      <c r="ARE37" s="9"/>
      <c r="ARF37" s="9"/>
      <c r="ARG37" s="9"/>
      <c r="ARH37" s="9"/>
      <c r="ARI37" s="9"/>
      <c r="ARJ37" s="9"/>
      <c r="ARK37" s="9"/>
      <c r="ARL37" s="9"/>
      <c r="ARM37" s="9"/>
      <c r="ARN37" s="9"/>
      <c r="ARO37" s="9"/>
      <c r="ARP37" s="9"/>
      <c r="ARQ37" s="9"/>
      <c r="ARR37" s="9"/>
      <c r="ARS37" s="9"/>
      <c r="ART37" s="9"/>
      <c r="ARU37" s="9"/>
      <c r="ARV37" s="9"/>
      <c r="ARW37" s="9"/>
      <c r="ARX37" s="9"/>
      <c r="ARY37" s="9"/>
      <c r="ARZ37" s="9"/>
      <c r="ASA37" s="9"/>
      <c r="ASB37" s="9"/>
      <c r="ASC37" s="9"/>
      <c r="ASD37" s="9"/>
      <c r="ASE37" s="9"/>
      <c r="ASF37" s="9"/>
      <c r="ASG37" s="9"/>
      <c r="ASH37" s="9"/>
      <c r="ASI37" s="9"/>
      <c r="ASJ37" s="9"/>
      <c r="ASK37" s="9"/>
      <c r="ASL37" s="9"/>
      <c r="ASM37" s="9"/>
      <c r="ASN37" s="9"/>
      <c r="ASO37" s="9"/>
      <c r="ASP37" s="9"/>
      <c r="ASQ37" s="9"/>
      <c r="ASR37" s="9"/>
      <c r="ASS37" s="9"/>
      <c r="AST37" s="9"/>
      <c r="ASU37" s="9"/>
      <c r="ASV37" s="9"/>
      <c r="ASW37" s="9"/>
      <c r="ASX37" s="9"/>
      <c r="ASY37" s="9"/>
      <c r="ASZ37" s="9"/>
      <c r="ATA37" s="9"/>
      <c r="ATB37" s="9"/>
      <c r="ATC37" s="9"/>
      <c r="ATD37" s="9"/>
      <c r="ATE37" s="9"/>
      <c r="ATF37" s="9"/>
      <c r="ATG37" s="9"/>
      <c r="ATH37" s="9"/>
      <c r="ATI37" s="9"/>
      <c r="ATJ37" s="9"/>
      <c r="ATK37" s="9"/>
      <c r="ATL37" s="9"/>
      <c r="ATM37" s="9"/>
      <c r="ATN37" s="9"/>
      <c r="ATO37" s="9"/>
      <c r="ATP37" s="9"/>
      <c r="ATQ37" s="9"/>
      <c r="ATR37" s="9"/>
      <c r="ATS37" s="9"/>
      <c r="ATT37" s="9"/>
      <c r="ATU37" s="9"/>
      <c r="ATV37" s="9"/>
      <c r="ATW37" s="9"/>
      <c r="ATX37" s="9"/>
      <c r="ATY37" s="9"/>
      <c r="ATZ37" s="9"/>
      <c r="AUA37" s="9"/>
      <c r="AUB37" s="9"/>
      <c r="AUC37" s="9"/>
      <c r="AUD37" s="9"/>
      <c r="AUE37" s="9"/>
      <c r="AUF37" s="9"/>
      <c r="AUG37" s="9"/>
      <c r="AUH37" s="9"/>
      <c r="AUI37" s="9"/>
      <c r="AUJ37" s="9"/>
      <c r="AUK37" s="9"/>
      <c r="AUL37" s="9"/>
      <c r="AUM37" s="9"/>
      <c r="AUN37" s="9"/>
      <c r="AUO37" s="9"/>
      <c r="AUP37" s="9"/>
      <c r="AUQ37" s="9"/>
      <c r="AUR37" s="9"/>
      <c r="AUS37" s="9"/>
      <c r="AUT37" s="9"/>
      <c r="AUU37" s="9"/>
      <c r="AUV37" s="9"/>
      <c r="AUW37" s="9"/>
      <c r="AUX37" s="9"/>
      <c r="AUY37" s="9"/>
      <c r="AUZ37" s="9"/>
      <c r="AVA37" s="9"/>
      <c r="AVB37" s="9"/>
      <c r="AVC37" s="9"/>
      <c r="AVD37" s="9"/>
      <c r="AVE37" s="9"/>
      <c r="AVF37" s="9"/>
      <c r="AVG37" s="9"/>
      <c r="AVH37" s="9"/>
      <c r="AVI37" s="9"/>
      <c r="AVJ37" s="9"/>
      <c r="AVK37" s="9"/>
      <c r="AVL37" s="9"/>
      <c r="AVM37" s="9"/>
      <c r="AVN37" s="9"/>
      <c r="AVO37" s="9"/>
      <c r="AVP37" s="9"/>
      <c r="AVQ37" s="9"/>
      <c r="AVR37" s="9"/>
      <c r="AVS37" s="9"/>
      <c r="AVT37" s="9"/>
      <c r="AVU37" s="9"/>
      <c r="AVV37" s="9"/>
      <c r="AVW37" s="9"/>
      <c r="AVX37" s="9"/>
      <c r="AVY37" s="9"/>
      <c r="AVZ37" s="9"/>
      <c r="AWA37" s="9"/>
      <c r="AWB37" s="9"/>
      <c r="AWC37" s="9"/>
      <c r="AWD37" s="9"/>
      <c r="AWE37" s="9"/>
      <c r="AWF37" s="9"/>
      <c r="AWG37" s="9"/>
      <c r="AWH37" s="9"/>
      <c r="AWI37" s="9"/>
      <c r="AWJ37" s="9"/>
      <c r="AWK37" s="9"/>
      <c r="AWL37" s="9"/>
      <c r="AWM37" s="9"/>
      <c r="AWN37" s="9"/>
      <c r="AWO37" s="9"/>
      <c r="AWP37" s="9"/>
      <c r="AWQ37" s="9"/>
      <c r="AWR37" s="9"/>
      <c r="AWS37" s="9"/>
      <c r="AWT37" s="9"/>
      <c r="AWU37" s="9"/>
      <c r="AWV37" s="9"/>
      <c r="AWW37" s="9"/>
      <c r="AWX37" s="9"/>
      <c r="AWY37" s="9"/>
      <c r="AWZ37" s="9"/>
      <c r="AXA37" s="9"/>
      <c r="AXB37" s="9"/>
      <c r="AXC37" s="9"/>
      <c r="AXD37" s="9"/>
      <c r="AXE37" s="9"/>
      <c r="AXF37" s="9"/>
      <c r="AXG37" s="9"/>
      <c r="AXH37" s="9"/>
      <c r="AXI37" s="9"/>
      <c r="AXJ37" s="9"/>
      <c r="AXK37" s="9"/>
      <c r="AXL37" s="9"/>
      <c r="AXM37" s="9"/>
      <c r="AXN37" s="9"/>
      <c r="AXO37" s="9"/>
      <c r="AXP37" s="9"/>
      <c r="AXQ37" s="9"/>
      <c r="AXR37" s="9"/>
      <c r="AXS37" s="9"/>
      <c r="AXT37" s="9"/>
      <c r="AXU37" s="9"/>
      <c r="AXV37" s="9"/>
      <c r="AXW37" s="9"/>
      <c r="AXX37" s="9"/>
      <c r="AXY37" s="9"/>
      <c r="AXZ37" s="9"/>
      <c r="AYA37" s="9"/>
      <c r="AYB37" s="9"/>
      <c r="AYC37" s="9"/>
      <c r="AYD37" s="9"/>
      <c r="AYE37" s="9"/>
      <c r="AYF37" s="9"/>
      <c r="AYG37" s="9"/>
      <c r="AYH37" s="9"/>
      <c r="AYI37" s="9"/>
      <c r="AYJ37" s="9"/>
      <c r="AYK37" s="9"/>
      <c r="AYL37" s="9"/>
      <c r="AYM37" s="9"/>
      <c r="AYN37" s="9"/>
      <c r="AYO37" s="9"/>
      <c r="AYP37" s="9"/>
      <c r="AYQ37" s="9"/>
      <c r="AYR37" s="9"/>
      <c r="AYS37" s="9"/>
      <c r="AYT37" s="9"/>
      <c r="AYU37" s="9"/>
      <c r="AYV37" s="9"/>
      <c r="AYW37" s="9"/>
      <c r="AYX37" s="9"/>
      <c r="AYY37" s="9"/>
      <c r="AYZ37" s="9"/>
      <c r="AZA37" s="9"/>
      <c r="AZB37" s="9"/>
      <c r="AZC37" s="9"/>
      <c r="AZD37" s="9"/>
      <c r="AZE37" s="9"/>
      <c r="AZF37" s="9"/>
      <c r="AZG37" s="9"/>
      <c r="AZH37" s="9"/>
      <c r="AZI37" s="9"/>
      <c r="AZJ37" s="9"/>
      <c r="AZK37" s="9"/>
      <c r="AZL37" s="9"/>
      <c r="AZM37" s="9"/>
      <c r="AZN37" s="9"/>
      <c r="AZO37" s="9"/>
      <c r="AZP37" s="9"/>
      <c r="AZQ37" s="9"/>
      <c r="AZR37" s="9"/>
      <c r="AZS37" s="9"/>
      <c r="AZT37" s="9"/>
      <c r="AZU37" s="9"/>
      <c r="AZV37" s="9"/>
      <c r="AZW37" s="9"/>
      <c r="AZX37" s="9"/>
      <c r="AZY37" s="9"/>
      <c r="AZZ37" s="9"/>
      <c r="BAA37" s="9"/>
      <c r="BAB37" s="9"/>
      <c r="BAC37" s="9"/>
      <c r="BAD37" s="9"/>
      <c r="BAE37" s="9"/>
      <c r="BAF37" s="9"/>
      <c r="BAG37" s="9"/>
      <c r="BAH37" s="9"/>
      <c r="BAI37" s="9"/>
      <c r="BAJ37" s="9"/>
      <c r="BAK37" s="9"/>
      <c r="BAL37" s="9"/>
      <c r="BAM37" s="9"/>
      <c r="BAN37" s="9"/>
      <c r="BAO37" s="9"/>
      <c r="BAP37" s="9"/>
      <c r="BAQ37" s="9"/>
      <c r="BAR37" s="9"/>
      <c r="BAS37" s="9"/>
      <c r="BAT37" s="9"/>
      <c r="BAU37" s="9"/>
      <c r="BAV37" s="9"/>
      <c r="BAW37" s="9"/>
      <c r="BAX37" s="9"/>
      <c r="BAY37" s="9"/>
      <c r="BAZ37" s="9"/>
      <c r="BBA37" s="9"/>
      <c r="BBB37" s="9"/>
      <c r="BBC37" s="9"/>
      <c r="BBD37" s="9"/>
      <c r="BBE37" s="9"/>
      <c r="BBF37" s="9"/>
      <c r="BBG37" s="9"/>
      <c r="BBH37" s="9"/>
      <c r="BBI37" s="9"/>
      <c r="BBJ37" s="9"/>
      <c r="BBK37" s="9"/>
      <c r="BBL37" s="9"/>
      <c r="BBM37" s="9"/>
      <c r="BBN37" s="9"/>
      <c r="BBO37" s="9"/>
      <c r="BBP37" s="9"/>
      <c r="BBQ37" s="9"/>
      <c r="BBR37" s="9"/>
      <c r="BBS37" s="9"/>
      <c r="BBT37" s="9"/>
      <c r="BBU37" s="9"/>
      <c r="BBV37" s="9"/>
      <c r="BBW37" s="9"/>
      <c r="BBX37" s="9"/>
      <c r="BBY37" s="9"/>
      <c r="BBZ37" s="9"/>
      <c r="BCA37" s="9"/>
      <c r="BCB37" s="9"/>
      <c r="BCC37" s="9"/>
      <c r="BCD37" s="9"/>
      <c r="BCE37" s="9"/>
      <c r="BCF37" s="9"/>
      <c r="BCG37" s="9"/>
      <c r="BCH37" s="9"/>
      <c r="BCI37" s="9"/>
      <c r="BCJ37" s="9"/>
      <c r="BCK37" s="9"/>
      <c r="BCL37" s="9"/>
      <c r="BCM37" s="9"/>
      <c r="BCN37" s="9"/>
      <c r="BCO37" s="9"/>
      <c r="BCP37" s="9"/>
      <c r="BCQ37" s="9"/>
      <c r="BCR37" s="9"/>
      <c r="BCS37" s="9"/>
      <c r="BCT37" s="9"/>
      <c r="BCU37" s="9"/>
      <c r="BCV37" s="9"/>
      <c r="BCW37" s="9"/>
      <c r="BCX37" s="9"/>
      <c r="BCY37" s="9"/>
      <c r="BCZ37" s="9"/>
      <c r="BDA37" s="9"/>
      <c r="BDB37" s="9"/>
      <c r="BDC37" s="9"/>
      <c r="BDD37" s="9"/>
      <c r="BDE37" s="9"/>
      <c r="BDF37" s="9"/>
      <c r="BDG37" s="9"/>
      <c r="BDH37" s="9"/>
      <c r="BDI37" s="9"/>
      <c r="BDJ37" s="9"/>
      <c r="BDK37" s="9"/>
      <c r="BDL37" s="9"/>
      <c r="BDM37" s="9"/>
      <c r="BDN37" s="9"/>
      <c r="BDO37" s="9"/>
      <c r="BDP37" s="9"/>
      <c r="BDQ37" s="9"/>
      <c r="BDR37" s="9"/>
      <c r="BDS37" s="9"/>
      <c r="BDT37" s="9"/>
      <c r="BDU37" s="9"/>
      <c r="BDV37" s="9"/>
      <c r="BDW37" s="9"/>
      <c r="BDX37" s="9"/>
      <c r="BDY37" s="9"/>
      <c r="BDZ37" s="9"/>
      <c r="BEA37" s="9"/>
      <c r="BEB37" s="9"/>
      <c r="BEC37" s="9"/>
      <c r="BED37" s="9"/>
      <c r="BEE37" s="9"/>
      <c r="BEF37" s="9"/>
      <c r="BEG37" s="9"/>
      <c r="BEH37" s="9"/>
      <c r="BEI37" s="9"/>
      <c r="BEJ37" s="9"/>
      <c r="BEK37" s="9"/>
      <c r="BEL37" s="9"/>
      <c r="BEM37" s="9"/>
      <c r="BEN37" s="9"/>
      <c r="BEO37" s="9"/>
      <c r="BEP37" s="9"/>
      <c r="BEQ37" s="9"/>
      <c r="BER37" s="9"/>
      <c r="BES37" s="9"/>
      <c r="BET37" s="9"/>
      <c r="BEU37" s="9"/>
      <c r="BEV37" s="9"/>
      <c r="BEW37" s="9"/>
      <c r="BEX37" s="9"/>
      <c r="BEY37" s="9"/>
      <c r="BEZ37" s="9"/>
      <c r="BFA37" s="9"/>
      <c r="BFB37" s="9"/>
      <c r="BFC37" s="9"/>
      <c r="BFD37" s="9"/>
      <c r="BFE37" s="9"/>
      <c r="BFF37" s="9"/>
      <c r="BFG37" s="9"/>
      <c r="BFH37" s="9"/>
      <c r="BFI37" s="9"/>
      <c r="BFJ37" s="9"/>
      <c r="BFK37" s="9"/>
      <c r="BFL37" s="9"/>
      <c r="BFM37" s="9"/>
      <c r="BFN37" s="9"/>
      <c r="BFO37" s="9"/>
      <c r="BFP37" s="9"/>
      <c r="BFQ37" s="9"/>
      <c r="BFR37" s="9"/>
      <c r="BFS37" s="9"/>
      <c r="BFT37" s="9"/>
      <c r="BFU37" s="9"/>
      <c r="BFV37" s="9"/>
      <c r="BFW37" s="9"/>
      <c r="BFX37" s="9"/>
      <c r="BFY37" s="9"/>
      <c r="BFZ37" s="9"/>
      <c r="BGA37" s="9"/>
      <c r="BGB37" s="9"/>
      <c r="BGC37" s="9"/>
      <c r="BGD37" s="9"/>
      <c r="BGE37" s="9"/>
      <c r="BGF37" s="9"/>
      <c r="BGG37" s="9"/>
      <c r="BGH37" s="9"/>
      <c r="BGI37" s="9"/>
      <c r="BGJ37" s="9"/>
      <c r="BGK37" s="9"/>
      <c r="BGL37" s="9"/>
      <c r="BGM37" s="9"/>
      <c r="BGN37" s="9"/>
      <c r="BGO37" s="9"/>
      <c r="BGP37" s="9"/>
      <c r="BGQ37" s="9"/>
      <c r="BGR37" s="9"/>
      <c r="BGS37" s="9"/>
      <c r="BGT37" s="9"/>
      <c r="BGU37" s="9"/>
      <c r="BGV37" s="9"/>
      <c r="BGW37" s="9"/>
      <c r="BGX37" s="9"/>
      <c r="BGY37" s="9"/>
      <c r="BGZ37" s="9"/>
      <c r="BHA37" s="9"/>
      <c r="BHB37" s="9"/>
      <c r="BHC37" s="9"/>
      <c r="BHD37" s="9"/>
      <c r="BHE37" s="9"/>
      <c r="BHF37" s="9"/>
      <c r="BHG37" s="9"/>
      <c r="BHH37" s="9"/>
      <c r="BHI37" s="9"/>
      <c r="BHJ37" s="9"/>
      <c r="BHK37" s="9"/>
      <c r="BHL37" s="9"/>
      <c r="BHM37" s="9"/>
      <c r="BHN37" s="9"/>
      <c r="BHO37" s="9"/>
      <c r="BHP37" s="9"/>
      <c r="BHQ37" s="9"/>
      <c r="BHR37" s="9"/>
      <c r="BHS37" s="9"/>
      <c r="BHT37" s="9"/>
      <c r="BHU37" s="9"/>
      <c r="BHV37" s="9"/>
      <c r="BHW37" s="9"/>
      <c r="BHX37" s="9"/>
      <c r="BHY37" s="9"/>
      <c r="BHZ37" s="9"/>
      <c r="BIA37" s="9"/>
      <c r="BIB37" s="9"/>
      <c r="BIC37" s="9"/>
      <c r="BID37" s="9"/>
      <c r="BIE37" s="9"/>
      <c r="BIF37" s="9"/>
      <c r="BIG37" s="9"/>
      <c r="BIH37" s="9"/>
      <c r="BII37" s="9"/>
      <c r="BIJ37" s="9"/>
      <c r="BIK37" s="9"/>
      <c r="BIL37" s="9"/>
      <c r="BIM37" s="9"/>
      <c r="BIN37" s="9"/>
      <c r="BIO37" s="9"/>
      <c r="BIP37" s="9"/>
      <c r="BIQ37" s="9"/>
      <c r="BIR37" s="9"/>
      <c r="BIS37" s="9"/>
      <c r="BIT37" s="9"/>
      <c r="BIU37" s="9"/>
      <c r="BIV37" s="9"/>
      <c r="BIW37" s="9"/>
      <c r="BIX37" s="9"/>
      <c r="BIY37" s="9"/>
      <c r="BIZ37" s="9"/>
      <c r="BJA37" s="9"/>
      <c r="BJB37" s="9"/>
      <c r="BJC37" s="9"/>
      <c r="BJD37" s="9"/>
      <c r="BJE37" s="9"/>
      <c r="BJF37" s="9"/>
      <c r="BJG37" s="9"/>
      <c r="BJH37" s="9"/>
      <c r="BJI37" s="9"/>
      <c r="BJJ37" s="9"/>
      <c r="BJK37" s="9"/>
      <c r="BJL37" s="9"/>
      <c r="BJM37" s="9"/>
      <c r="BJN37" s="9"/>
      <c r="BJO37" s="9"/>
      <c r="BJP37" s="9"/>
      <c r="BJQ37" s="9"/>
      <c r="BJR37" s="9"/>
      <c r="BJS37" s="9"/>
      <c r="BJT37" s="9"/>
      <c r="BJU37" s="9"/>
      <c r="BJV37" s="9"/>
      <c r="BJW37" s="9"/>
      <c r="BJX37" s="9"/>
      <c r="BJY37" s="9"/>
      <c r="BJZ37" s="9"/>
      <c r="BKA37" s="9"/>
      <c r="BKB37" s="9"/>
      <c r="BKC37" s="9"/>
      <c r="BKD37" s="9"/>
      <c r="BKE37" s="9"/>
      <c r="BKF37" s="9"/>
      <c r="BKG37" s="9"/>
      <c r="BKH37" s="9"/>
      <c r="BKI37" s="9"/>
      <c r="BKJ37" s="9"/>
      <c r="BKK37" s="9"/>
      <c r="BKL37" s="9"/>
      <c r="BKM37" s="9"/>
      <c r="BKN37" s="9"/>
      <c r="BKO37" s="9"/>
      <c r="BKP37" s="9"/>
      <c r="BKQ37" s="9"/>
      <c r="BKR37" s="9"/>
      <c r="BKS37" s="9"/>
      <c r="BKT37" s="9"/>
      <c r="BKU37" s="9"/>
      <c r="BKV37" s="9"/>
      <c r="BKW37" s="9"/>
      <c r="BKX37" s="9"/>
      <c r="BKY37" s="9"/>
      <c r="BKZ37" s="9"/>
      <c r="BLA37" s="9"/>
      <c r="BLB37" s="9"/>
      <c r="BLC37" s="9"/>
      <c r="BLD37" s="9"/>
      <c r="BLE37" s="9"/>
      <c r="BLF37" s="9"/>
      <c r="BLG37" s="9"/>
      <c r="BLH37" s="9"/>
      <c r="BLI37" s="9"/>
      <c r="BLJ37" s="9"/>
      <c r="BLK37" s="9"/>
      <c r="BLL37" s="9"/>
      <c r="BLM37" s="9"/>
      <c r="BLN37" s="9"/>
      <c r="BLO37" s="9"/>
      <c r="BLP37" s="9"/>
      <c r="BLQ37" s="9"/>
      <c r="BLR37" s="9"/>
      <c r="BLS37" s="9"/>
      <c r="BLT37" s="9"/>
      <c r="BLU37" s="9"/>
      <c r="BLV37" s="9"/>
      <c r="BLW37" s="9"/>
      <c r="BLX37" s="9"/>
      <c r="BLY37" s="9"/>
      <c r="BLZ37" s="9"/>
      <c r="BMA37" s="9"/>
      <c r="BMB37" s="9"/>
      <c r="BMC37" s="9"/>
      <c r="BMD37" s="9"/>
      <c r="BME37" s="9"/>
      <c r="BMF37" s="9"/>
      <c r="BMG37" s="9"/>
      <c r="BMH37" s="9"/>
      <c r="BMI37" s="9"/>
      <c r="BMJ37" s="9"/>
      <c r="BMK37" s="9"/>
      <c r="BML37" s="9"/>
      <c r="BMM37" s="9"/>
      <c r="BMN37" s="9"/>
      <c r="BMO37" s="9"/>
      <c r="BMP37" s="9"/>
      <c r="BMQ37" s="9"/>
      <c r="BMR37" s="9"/>
      <c r="BMS37" s="9"/>
      <c r="BMT37" s="9"/>
      <c r="BMU37" s="9"/>
      <c r="BMV37" s="9"/>
      <c r="BMW37" s="9"/>
      <c r="BMX37" s="9"/>
      <c r="BMY37" s="9"/>
      <c r="BMZ37" s="9"/>
      <c r="BNA37" s="9"/>
      <c r="BNB37" s="9"/>
      <c r="BNC37" s="9"/>
      <c r="BND37" s="9"/>
      <c r="BNE37" s="9"/>
      <c r="BNF37" s="9"/>
      <c r="BNG37" s="9"/>
      <c r="BNH37" s="9"/>
      <c r="BNI37" s="9"/>
      <c r="BNJ37" s="9"/>
      <c r="BNK37" s="9"/>
      <c r="BNL37" s="9"/>
      <c r="BNM37" s="9"/>
      <c r="BNN37" s="9"/>
      <c r="BNO37" s="9"/>
      <c r="BNP37" s="9"/>
      <c r="BNQ37" s="9"/>
      <c r="BNR37" s="9"/>
      <c r="BNS37" s="9"/>
      <c r="BNT37" s="9"/>
      <c r="BNU37" s="9"/>
      <c r="BNV37" s="9"/>
      <c r="BNW37" s="9"/>
      <c r="BNX37" s="9"/>
      <c r="BNY37" s="9"/>
      <c r="BNZ37" s="9"/>
      <c r="BOA37" s="9"/>
      <c r="BOB37" s="9"/>
      <c r="BOC37" s="9"/>
      <c r="BOD37" s="9"/>
      <c r="BOE37" s="9"/>
      <c r="BOF37" s="9"/>
      <c r="BOG37" s="9"/>
      <c r="BOH37" s="9"/>
      <c r="BOI37" s="9"/>
      <c r="BOJ37" s="9"/>
      <c r="BOK37" s="9"/>
      <c r="BOL37" s="9"/>
      <c r="BOM37" s="9"/>
      <c r="BON37" s="9"/>
      <c r="BOO37" s="9"/>
      <c r="BOP37" s="9"/>
      <c r="BOQ37" s="9"/>
      <c r="BOR37" s="9"/>
      <c r="BOS37" s="9"/>
      <c r="BOT37" s="9"/>
      <c r="BOU37" s="9"/>
      <c r="BOV37" s="9"/>
      <c r="BOW37" s="9"/>
      <c r="BOX37" s="9"/>
      <c r="BOY37" s="9"/>
      <c r="BOZ37" s="9"/>
      <c r="BPA37" s="9"/>
      <c r="BPB37" s="9"/>
      <c r="BPC37" s="9"/>
      <c r="BPD37" s="9"/>
      <c r="BPE37" s="9"/>
      <c r="BPF37" s="9"/>
      <c r="BPG37" s="9"/>
      <c r="BPH37" s="9"/>
      <c r="BPI37" s="9"/>
      <c r="BPJ37" s="9"/>
      <c r="BPK37" s="9"/>
      <c r="BPL37" s="9"/>
      <c r="BPM37" s="9"/>
      <c r="BPN37" s="9"/>
      <c r="BPO37" s="9"/>
      <c r="BPP37" s="9"/>
      <c r="BPQ37" s="9"/>
      <c r="BPR37" s="9"/>
      <c r="BPS37" s="9"/>
      <c r="BPT37" s="9"/>
      <c r="BPU37" s="9"/>
      <c r="BPV37" s="9"/>
      <c r="BPW37" s="9"/>
      <c r="BPX37" s="9"/>
      <c r="BPY37" s="9"/>
      <c r="BPZ37" s="9"/>
      <c r="BQA37" s="9"/>
      <c r="BQB37" s="9"/>
      <c r="BQC37" s="9"/>
      <c r="BQD37" s="9"/>
      <c r="BQE37" s="9"/>
      <c r="BQF37" s="9"/>
      <c r="BQG37" s="9"/>
      <c r="BQH37" s="9"/>
      <c r="BQI37" s="9"/>
      <c r="BQJ37" s="9"/>
      <c r="BQK37" s="9"/>
      <c r="BQL37" s="9"/>
      <c r="BQM37" s="9"/>
      <c r="BQN37" s="9"/>
      <c r="BQO37" s="9"/>
      <c r="BQP37" s="9"/>
      <c r="BQQ37" s="9"/>
      <c r="BQR37" s="9"/>
      <c r="BQS37" s="9"/>
      <c r="BQT37" s="9"/>
      <c r="BQU37" s="9"/>
      <c r="BQV37" s="9"/>
      <c r="BQW37" s="9"/>
      <c r="BQX37" s="9"/>
      <c r="BQY37" s="9"/>
      <c r="BQZ37" s="9"/>
      <c r="BRA37" s="9"/>
      <c r="BRB37" s="9"/>
      <c r="BRC37" s="9"/>
      <c r="BRD37" s="9"/>
      <c r="BRE37" s="9"/>
      <c r="BRF37" s="9"/>
      <c r="BRG37" s="9"/>
      <c r="BRH37" s="9"/>
      <c r="BRI37" s="9"/>
      <c r="BRJ37" s="9"/>
      <c r="BRK37" s="9"/>
      <c r="BRL37" s="9"/>
      <c r="BRM37" s="9"/>
      <c r="BRN37" s="9"/>
      <c r="BRO37" s="9"/>
      <c r="BRP37" s="9"/>
      <c r="BRQ37" s="9"/>
      <c r="BRR37" s="9"/>
      <c r="BRS37" s="9"/>
      <c r="BRT37" s="9"/>
      <c r="BRU37" s="9"/>
      <c r="BRV37" s="9"/>
      <c r="BRW37" s="9"/>
      <c r="BRX37" s="9"/>
      <c r="BRY37" s="9"/>
      <c r="BRZ37" s="9"/>
      <c r="BSA37" s="9"/>
      <c r="BSB37" s="9"/>
      <c r="BSC37" s="9"/>
      <c r="BSD37" s="9"/>
      <c r="BSE37" s="9"/>
      <c r="BSF37" s="9"/>
      <c r="BSG37" s="9"/>
      <c r="BSH37" s="9"/>
      <c r="BSI37" s="9"/>
      <c r="BSJ37" s="9"/>
      <c r="BSK37" s="9"/>
      <c r="BSL37" s="9"/>
      <c r="BSM37" s="9"/>
      <c r="BSN37" s="9"/>
      <c r="BSO37" s="9"/>
      <c r="BSP37" s="9"/>
      <c r="BSQ37" s="9"/>
      <c r="BSR37" s="9"/>
      <c r="BSS37" s="9"/>
      <c r="BST37" s="9"/>
      <c r="BSU37" s="9"/>
      <c r="BSV37" s="9"/>
      <c r="BSW37" s="9"/>
      <c r="BSX37" s="9"/>
      <c r="BSY37" s="9"/>
      <c r="BSZ37" s="9"/>
      <c r="BTA37" s="9"/>
      <c r="BTB37" s="9"/>
      <c r="BTC37" s="9"/>
      <c r="BTD37" s="9"/>
      <c r="BTE37" s="9"/>
      <c r="BTF37" s="9"/>
      <c r="BTG37" s="9"/>
      <c r="BTH37" s="9"/>
      <c r="BTI37" s="9"/>
      <c r="BTJ37" s="9"/>
      <c r="BTK37" s="9"/>
      <c r="BTL37" s="9"/>
      <c r="BTM37" s="9"/>
      <c r="BTN37" s="9"/>
      <c r="BTO37" s="9"/>
      <c r="BTP37" s="9"/>
      <c r="BTQ37" s="9"/>
      <c r="BTR37" s="9"/>
      <c r="BTS37" s="9"/>
      <c r="BTT37" s="9"/>
      <c r="BTU37" s="9"/>
      <c r="BTV37" s="9"/>
      <c r="BTW37" s="9"/>
      <c r="BTX37" s="9"/>
      <c r="BTY37" s="9"/>
      <c r="BTZ37" s="9"/>
      <c r="BUA37" s="9"/>
      <c r="BUB37" s="9"/>
      <c r="BUC37" s="9"/>
      <c r="BUD37" s="9"/>
      <c r="BUE37" s="9"/>
      <c r="BUF37" s="9"/>
      <c r="BUG37" s="9"/>
      <c r="BUH37" s="9"/>
      <c r="BUI37" s="9"/>
      <c r="BUJ37" s="9"/>
      <c r="BUK37" s="9"/>
      <c r="BUL37" s="9"/>
      <c r="BUM37" s="9"/>
      <c r="BUN37" s="9"/>
      <c r="BUO37" s="9"/>
      <c r="BUP37" s="9"/>
      <c r="BUQ37" s="9"/>
      <c r="BUR37" s="9"/>
      <c r="BUS37" s="9"/>
      <c r="BUT37" s="9"/>
      <c r="BUU37" s="9"/>
      <c r="BUV37" s="9"/>
      <c r="BUW37" s="9"/>
      <c r="BUX37" s="9"/>
      <c r="BUY37" s="9"/>
      <c r="BUZ37" s="9"/>
      <c r="BVA37" s="9"/>
      <c r="BVB37" s="9"/>
      <c r="BVC37" s="9"/>
      <c r="BVD37" s="9"/>
      <c r="BVE37" s="9"/>
      <c r="BVF37" s="9"/>
      <c r="BVG37" s="9"/>
      <c r="BVH37" s="9"/>
      <c r="BVI37" s="9"/>
      <c r="BVJ37" s="9"/>
      <c r="BVK37" s="9"/>
      <c r="BVL37" s="9"/>
      <c r="BVM37" s="9"/>
      <c r="BVN37" s="9"/>
      <c r="BVO37" s="9"/>
      <c r="BVP37" s="9"/>
      <c r="BVQ37" s="9"/>
      <c r="BVR37" s="9"/>
      <c r="BVS37" s="9"/>
      <c r="BVT37" s="9"/>
      <c r="BVU37" s="9"/>
      <c r="BVV37" s="9"/>
      <c r="BVW37" s="9"/>
      <c r="BVX37" s="9"/>
      <c r="BVY37" s="9"/>
      <c r="BVZ37" s="9"/>
      <c r="BWA37" s="9"/>
      <c r="BWB37" s="9"/>
      <c r="BWC37" s="9"/>
      <c r="BWD37" s="9"/>
      <c r="BWE37" s="9"/>
      <c r="BWF37" s="9"/>
      <c r="BWG37" s="9"/>
      <c r="BWH37" s="9"/>
      <c r="BWI37" s="9"/>
      <c r="BWJ37" s="9"/>
      <c r="BWK37" s="9"/>
      <c r="BWL37" s="9"/>
      <c r="BWM37" s="9"/>
      <c r="BWN37" s="9"/>
      <c r="BWO37" s="9"/>
      <c r="BWP37" s="9"/>
      <c r="BWQ37" s="9"/>
      <c r="BWR37" s="9"/>
      <c r="BWS37" s="9"/>
      <c r="BWT37" s="9"/>
      <c r="BWU37" s="9"/>
      <c r="BWV37" s="9"/>
      <c r="BWW37" s="9"/>
      <c r="BWX37" s="9"/>
      <c r="BWY37" s="9"/>
      <c r="BWZ37" s="9"/>
      <c r="BXA37" s="9"/>
      <c r="BXB37" s="9"/>
      <c r="BXC37" s="9"/>
      <c r="BXD37" s="9"/>
      <c r="BXE37" s="9"/>
      <c r="BXF37" s="9"/>
      <c r="BXG37" s="9"/>
      <c r="BXH37" s="9"/>
      <c r="BXI37" s="9"/>
      <c r="BXJ37" s="9"/>
      <c r="BXK37" s="9"/>
      <c r="BXL37" s="9"/>
      <c r="BXM37" s="9"/>
      <c r="BXN37" s="9"/>
      <c r="BXO37" s="9"/>
      <c r="BXP37" s="9"/>
      <c r="BXQ37" s="9"/>
      <c r="BXR37" s="9"/>
      <c r="BXS37" s="9"/>
      <c r="BXT37" s="9"/>
      <c r="BXU37" s="9"/>
      <c r="BXV37" s="9"/>
      <c r="BXW37" s="9"/>
      <c r="BXX37" s="9"/>
      <c r="BXY37" s="9"/>
      <c r="BXZ37" s="9"/>
      <c r="BYA37" s="9"/>
      <c r="BYB37" s="9"/>
      <c r="BYC37" s="9"/>
      <c r="BYD37" s="9"/>
      <c r="BYE37" s="9"/>
      <c r="BYF37" s="9"/>
      <c r="BYG37" s="9"/>
      <c r="BYH37" s="9"/>
      <c r="BYI37" s="9"/>
      <c r="BYJ37" s="9"/>
      <c r="BYK37" s="9"/>
      <c r="BYL37" s="9"/>
      <c r="BYM37" s="9"/>
      <c r="BYN37" s="9"/>
      <c r="BYO37" s="9"/>
      <c r="BYP37" s="9"/>
      <c r="BYQ37" s="9"/>
      <c r="BYR37" s="9"/>
      <c r="BYS37" s="9"/>
      <c r="BYT37" s="9"/>
      <c r="BYU37" s="9"/>
      <c r="BYV37" s="9"/>
      <c r="BYW37" s="9"/>
      <c r="BYX37" s="9"/>
      <c r="BYY37" s="9"/>
      <c r="BYZ37" s="9"/>
      <c r="BZA37" s="9"/>
      <c r="BZB37" s="9"/>
      <c r="BZC37" s="9"/>
      <c r="BZD37" s="9"/>
      <c r="BZE37" s="9"/>
      <c r="BZF37" s="9"/>
      <c r="BZG37" s="9"/>
      <c r="BZH37" s="9"/>
      <c r="BZI37" s="9"/>
      <c r="BZJ37" s="9"/>
      <c r="BZK37" s="9"/>
      <c r="BZL37" s="9"/>
      <c r="BZM37" s="9"/>
      <c r="BZN37" s="9"/>
      <c r="BZO37" s="9"/>
      <c r="BZP37" s="9"/>
      <c r="BZQ37" s="9"/>
      <c r="BZR37" s="9"/>
      <c r="BZS37" s="9"/>
      <c r="BZT37" s="9"/>
      <c r="BZU37" s="9"/>
      <c r="BZV37" s="9"/>
      <c r="BZW37" s="9"/>
      <c r="BZX37" s="9"/>
      <c r="BZY37" s="9"/>
      <c r="BZZ37" s="9"/>
      <c r="CAA37" s="9"/>
      <c r="CAB37" s="9"/>
      <c r="CAC37" s="9"/>
      <c r="CAD37" s="9"/>
      <c r="CAE37" s="9"/>
      <c r="CAF37" s="9"/>
      <c r="CAG37" s="9"/>
      <c r="CAH37" s="9"/>
      <c r="CAI37" s="9"/>
      <c r="CAJ37" s="9"/>
      <c r="CAK37" s="9"/>
      <c r="CAL37" s="9"/>
      <c r="CAM37" s="9"/>
      <c r="CAN37" s="9"/>
      <c r="CAO37" s="9"/>
      <c r="CAP37" s="9"/>
      <c r="CAQ37" s="9"/>
      <c r="CAR37" s="9"/>
      <c r="CAS37" s="9"/>
      <c r="CAT37" s="9"/>
      <c r="CAU37" s="9"/>
      <c r="CAV37" s="9"/>
      <c r="CAW37" s="9"/>
      <c r="CAX37" s="9"/>
      <c r="CAY37" s="9"/>
      <c r="CAZ37" s="9"/>
      <c r="CBA37" s="9"/>
      <c r="CBB37" s="9"/>
      <c r="CBC37" s="9"/>
      <c r="CBD37" s="9"/>
      <c r="CBE37" s="9"/>
      <c r="CBF37" s="9"/>
      <c r="CBG37" s="9"/>
      <c r="CBH37" s="9"/>
      <c r="CBI37" s="9"/>
      <c r="CBJ37" s="9"/>
      <c r="CBK37" s="9"/>
      <c r="CBL37" s="9"/>
      <c r="CBM37" s="9"/>
      <c r="CBN37" s="9"/>
      <c r="CBO37" s="9"/>
      <c r="CBP37" s="9"/>
      <c r="CBQ37" s="9"/>
      <c r="CBR37" s="9"/>
      <c r="CBS37" s="9"/>
      <c r="CBT37" s="9"/>
      <c r="CBU37" s="9"/>
      <c r="CBV37" s="9"/>
      <c r="CBW37" s="9"/>
      <c r="CBX37" s="9"/>
      <c r="CBY37" s="9"/>
      <c r="CBZ37" s="9"/>
      <c r="CCA37" s="9"/>
      <c r="CCB37" s="9"/>
      <c r="CCC37" s="9"/>
      <c r="CCD37" s="9"/>
      <c r="CCE37" s="9"/>
      <c r="CCF37" s="9"/>
      <c r="CCG37" s="9"/>
      <c r="CCH37" s="9"/>
      <c r="CCI37" s="9"/>
      <c r="CCJ37" s="9"/>
      <c r="CCK37" s="9"/>
      <c r="CCL37" s="9"/>
      <c r="CCM37" s="9"/>
      <c r="CCN37" s="9"/>
      <c r="CCO37" s="9"/>
      <c r="CCP37" s="9"/>
      <c r="CCQ37" s="9"/>
      <c r="CCR37" s="9"/>
      <c r="CCS37" s="9"/>
      <c r="CCT37" s="9"/>
      <c r="CCU37" s="9"/>
      <c r="CCV37" s="9"/>
      <c r="CCW37" s="9"/>
      <c r="CCX37" s="9"/>
      <c r="CCY37" s="9"/>
      <c r="CCZ37" s="9"/>
      <c r="CDA37" s="9"/>
      <c r="CDB37" s="9"/>
      <c r="CDC37" s="9"/>
      <c r="CDD37" s="9"/>
      <c r="CDE37" s="9"/>
      <c r="CDF37" s="9"/>
      <c r="CDG37" s="9"/>
      <c r="CDH37" s="9"/>
      <c r="CDI37" s="9"/>
      <c r="CDJ37" s="9"/>
      <c r="CDK37" s="9"/>
      <c r="CDL37" s="9"/>
      <c r="CDM37" s="9"/>
      <c r="CDN37" s="9"/>
      <c r="CDO37" s="9"/>
      <c r="CDP37" s="9"/>
      <c r="CDQ37" s="9"/>
      <c r="CDR37" s="9"/>
      <c r="CDS37" s="9"/>
      <c r="CDT37" s="9"/>
      <c r="CDU37" s="9"/>
      <c r="CDV37" s="9"/>
      <c r="CDW37" s="9"/>
      <c r="CDX37" s="9"/>
      <c r="CDY37" s="9"/>
      <c r="CDZ37" s="9"/>
      <c r="CEA37" s="9"/>
      <c r="CEB37" s="9"/>
      <c r="CEC37" s="9"/>
      <c r="CED37" s="9"/>
      <c r="CEE37" s="9"/>
      <c r="CEF37" s="9"/>
      <c r="CEG37" s="9"/>
      <c r="CEH37" s="9"/>
      <c r="CEI37" s="9"/>
      <c r="CEJ37" s="9"/>
      <c r="CEK37" s="9"/>
      <c r="CEL37" s="9"/>
      <c r="CEM37" s="9"/>
      <c r="CEN37" s="9"/>
      <c r="CEO37" s="9"/>
      <c r="CEP37" s="9"/>
      <c r="CEQ37" s="9"/>
      <c r="CER37" s="9"/>
      <c r="CES37" s="9"/>
      <c r="CET37" s="9"/>
      <c r="CEU37" s="9"/>
      <c r="CEV37" s="9"/>
      <c r="CEW37" s="9"/>
      <c r="CEX37" s="9"/>
      <c r="CEY37" s="9"/>
      <c r="CEZ37" s="9"/>
      <c r="CFA37" s="9"/>
      <c r="CFB37" s="9"/>
      <c r="CFC37" s="9"/>
      <c r="CFD37" s="9"/>
      <c r="CFE37" s="9"/>
      <c r="CFF37" s="9"/>
      <c r="CFG37" s="9"/>
      <c r="CFH37" s="9"/>
      <c r="CFI37" s="9"/>
      <c r="CFJ37" s="9"/>
      <c r="CFK37" s="9"/>
      <c r="CFL37" s="9"/>
      <c r="CFM37" s="9"/>
      <c r="CFN37" s="9"/>
      <c r="CFO37" s="9"/>
      <c r="CFP37" s="9"/>
      <c r="CFQ37" s="9"/>
      <c r="CFR37" s="9"/>
      <c r="CFS37" s="9"/>
      <c r="CFT37" s="9"/>
      <c r="CFU37" s="9"/>
      <c r="CFV37" s="9"/>
      <c r="CFW37" s="9"/>
      <c r="CFX37" s="9"/>
      <c r="CFY37" s="9"/>
      <c r="CFZ37" s="9"/>
      <c r="CGA37" s="9"/>
      <c r="CGB37" s="9"/>
      <c r="CGC37" s="9"/>
      <c r="CGD37" s="9"/>
      <c r="CGE37" s="9"/>
      <c r="CGF37" s="9"/>
      <c r="CGG37" s="9"/>
      <c r="CGH37" s="9"/>
      <c r="CGI37" s="9"/>
      <c r="CGJ37" s="9"/>
      <c r="CGK37" s="9"/>
      <c r="CGL37" s="9"/>
      <c r="CGM37" s="9"/>
      <c r="CGN37" s="9"/>
      <c r="CGO37" s="9"/>
      <c r="CGP37" s="9"/>
      <c r="CGQ37" s="9"/>
      <c r="CGR37" s="9"/>
      <c r="CGS37" s="9"/>
      <c r="CGT37" s="9"/>
      <c r="CGU37" s="9"/>
      <c r="CGV37" s="9"/>
      <c r="CGW37" s="9"/>
      <c r="CGX37" s="9"/>
      <c r="CGY37" s="9"/>
      <c r="CGZ37" s="9"/>
      <c r="CHA37" s="9"/>
      <c r="CHB37" s="9"/>
      <c r="CHC37" s="9"/>
      <c r="CHD37" s="9"/>
      <c r="CHE37" s="9"/>
      <c r="CHF37" s="9"/>
      <c r="CHG37" s="9"/>
      <c r="CHH37" s="9"/>
      <c r="CHI37" s="9"/>
      <c r="CHJ37" s="9"/>
      <c r="CHK37" s="9"/>
      <c r="CHL37" s="9"/>
      <c r="CHM37" s="9"/>
      <c r="CHN37" s="9"/>
      <c r="CHO37" s="9"/>
      <c r="CHP37" s="9"/>
      <c r="CHQ37" s="9"/>
      <c r="CHR37" s="9"/>
      <c r="CHS37" s="9"/>
      <c r="CHT37" s="9"/>
      <c r="CHU37" s="9"/>
      <c r="CHV37" s="9"/>
      <c r="CHW37" s="9"/>
      <c r="CHX37" s="9"/>
      <c r="CHY37" s="9"/>
      <c r="CHZ37" s="9"/>
      <c r="CIA37" s="9"/>
      <c r="CIB37" s="9"/>
      <c r="CIC37" s="9"/>
      <c r="CID37" s="9"/>
      <c r="CIE37" s="9"/>
      <c r="CIF37" s="9"/>
      <c r="CIG37" s="9"/>
      <c r="CIH37" s="9"/>
      <c r="CII37" s="9"/>
      <c r="CIJ37" s="9"/>
      <c r="CIK37" s="9"/>
      <c r="CIL37" s="9"/>
      <c r="CIM37" s="9"/>
      <c r="CIN37" s="9"/>
      <c r="CIO37" s="9"/>
      <c r="CIP37" s="9"/>
      <c r="CIQ37" s="9"/>
      <c r="CIR37" s="9"/>
      <c r="CIS37" s="9"/>
      <c r="CIT37" s="9"/>
      <c r="CIU37" s="9"/>
      <c r="CIV37" s="9"/>
      <c r="CIW37" s="9"/>
      <c r="CIX37" s="9"/>
      <c r="CIY37" s="9"/>
      <c r="CIZ37" s="9"/>
      <c r="CJA37" s="9"/>
      <c r="CJB37" s="9"/>
      <c r="CJC37" s="9"/>
      <c r="CJD37" s="9"/>
      <c r="CJE37" s="9"/>
      <c r="CJF37" s="9"/>
      <c r="CJG37" s="9"/>
      <c r="CJH37" s="9"/>
      <c r="CJI37" s="9"/>
      <c r="CJJ37" s="9"/>
      <c r="CJK37" s="9"/>
      <c r="CJL37" s="9"/>
      <c r="CJM37" s="9"/>
      <c r="CJN37" s="9"/>
      <c r="CJO37" s="9"/>
      <c r="CJP37" s="9"/>
      <c r="CJQ37" s="9"/>
      <c r="CJR37" s="9"/>
      <c r="CJS37" s="9"/>
      <c r="CJT37" s="9"/>
      <c r="CJU37" s="9"/>
      <c r="CJV37" s="9"/>
      <c r="CJW37" s="9"/>
      <c r="CJX37" s="9"/>
      <c r="CJY37" s="9"/>
      <c r="CJZ37" s="9"/>
      <c r="CKA37" s="9"/>
      <c r="CKB37" s="9"/>
      <c r="CKC37" s="9"/>
      <c r="CKD37" s="9"/>
      <c r="CKE37" s="9"/>
      <c r="CKF37" s="9"/>
      <c r="CKG37" s="9"/>
      <c r="CKH37" s="9"/>
      <c r="CKI37" s="9"/>
      <c r="CKJ37" s="9"/>
      <c r="CKK37" s="9"/>
      <c r="CKL37" s="9"/>
      <c r="CKM37" s="9"/>
      <c r="CKN37" s="9"/>
      <c r="CKO37" s="9"/>
      <c r="CKP37" s="9"/>
      <c r="CKQ37" s="9"/>
      <c r="CKR37" s="9"/>
      <c r="CKS37" s="9"/>
      <c r="CKT37" s="9"/>
      <c r="CKU37" s="9"/>
      <c r="CKV37" s="9"/>
      <c r="CKW37" s="9"/>
      <c r="CKX37" s="9"/>
      <c r="CKY37" s="9"/>
      <c r="CKZ37" s="9"/>
      <c r="CLA37" s="9"/>
      <c r="CLB37" s="9"/>
      <c r="CLC37" s="9"/>
      <c r="CLD37" s="9"/>
      <c r="CLE37" s="9"/>
      <c r="CLF37" s="9"/>
      <c r="CLG37" s="9"/>
      <c r="CLH37" s="9"/>
      <c r="CLI37" s="9"/>
      <c r="CLJ37" s="9"/>
      <c r="CLK37" s="9"/>
      <c r="CLL37" s="9"/>
      <c r="CLM37" s="9"/>
      <c r="CLN37" s="9"/>
      <c r="CLO37" s="9"/>
      <c r="CLP37" s="9"/>
      <c r="CLQ37" s="9"/>
      <c r="CLR37" s="9"/>
      <c r="CLS37" s="9"/>
      <c r="CLT37" s="9"/>
      <c r="CLU37" s="9"/>
      <c r="CLV37" s="9"/>
      <c r="CLW37" s="9"/>
      <c r="CLX37" s="9"/>
      <c r="CLY37" s="9"/>
      <c r="CLZ37" s="9"/>
      <c r="CMA37" s="9"/>
      <c r="CMB37" s="9"/>
      <c r="CMC37" s="9"/>
      <c r="CMD37" s="9"/>
      <c r="CME37" s="9"/>
      <c r="CMF37" s="9"/>
      <c r="CMG37" s="9"/>
      <c r="CMH37" s="9"/>
      <c r="CMI37" s="9"/>
      <c r="CMJ37" s="9"/>
      <c r="CMK37" s="9"/>
      <c r="CML37" s="9"/>
      <c r="CMM37" s="9"/>
      <c r="CMN37" s="9"/>
      <c r="CMO37" s="9"/>
      <c r="CMP37" s="9"/>
      <c r="CMQ37" s="9"/>
      <c r="CMR37" s="9"/>
      <c r="CMS37" s="9"/>
      <c r="CMT37" s="9"/>
      <c r="CMU37" s="9"/>
      <c r="CMV37" s="9"/>
      <c r="CMW37" s="9"/>
      <c r="CMX37" s="9"/>
      <c r="CMY37" s="9"/>
      <c r="CMZ37" s="9"/>
      <c r="CNA37" s="9"/>
      <c r="CNB37" s="9"/>
      <c r="CNC37" s="9"/>
      <c r="CND37" s="9"/>
      <c r="CNE37" s="9"/>
      <c r="CNF37" s="9"/>
      <c r="CNG37" s="9"/>
      <c r="CNH37" s="9"/>
      <c r="CNI37" s="9"/>
      <c r="CNJ37" s="9"/>
      <c r="CNK37" s="9"/>
      <c r="CNL37" s="9"/>
      <c r="CNM37" s="9"/>
      <c r="CNN37" s="9"/>
      <c r="CNO37" s="9"/>
      <c r="CNP37" s="9"/>
      <c r="CNQ37" s="9"/>
      <c r="CNR37" s="9"/>
      <c r="CNS37" s="9"/>
      <c r="CNT37" s="9"/>
      <c r="CNU37" s="9"/>
      <c r="CNV37" s="9"/>
      <c r="CNW37" s="9"/>
      <c r="CNX37" s="9"/>
      <c r="CNY37" s="9"/>
      <c r="CNZ37" s="9"/>
      <c r="COA37" s="9"/>
      <c r="COB37" s="9"/>
      <c r="COC37" s="9"/>
      <c r="COD37" s="9"/>
      <c r="COE37" s="9"/>
      <c r="COF37" s="9"/>
      <c r="COG37" s="9"/>
      <c r="COH37" s="9"/>
      <c r="COI37" s="9"/>
      <c r="COJ37" s="9"/>
      <c r="COK37" s="9"/>
      <c r="COL37" s="9"/>
      <c r="COM37" s="9"/>
      <c r="CON37" s="9"/>
      <c r="COO37" s="9"/>
      <c r="COP37" s="9"/>
      <c r="COQ37" s="9"/>
      <c r="COR37" s="9"/>
      <c r="COS37" s="9"/>
      <c r="COT37" s="9"/>
      <c r="COU37" s="9"/>
      <c r="COV37" s="9"/>
      <c r="COW37" s="9"/>
      <c r="COX37" s="9"/>
      <c r="COY37" s="9"/>
      <c r="COZ37" s="9"/>
      <c r="CPA37" s="9"/>
      <c r="CPB37" s="9"/>
      <c r="CPC37" s="9"/>
      <c r="CPD37" s="9"/>
      <c r="CPE37" s="9"/>
      <c r="CPF37" s="9"/>
      <c r="CPG37" s="9"/>
      <c r="CPH37" s="9"/>
      <c r="CPI37" s="9"/>
      <c r="CPJ37" s="9"/>
      <c r="CPK37" s="9"/>
      <c r="CPL37" s="9"/>
      <c r="CPM37" s="9"/>
      <c r="CPN37" s="9"/>
      <c r="CPO37" s="9"/>
      <c r="CPP37" s="9"/>
      <c r="CPQ37" s="9"/>
      <c r="CPR37" s="9"/>
      <c r="CPS37" s="9"/>
      <c r="CPT37" s="9"/>
      <c r="CPU37" s="9"/>
      <c r="CPV37" s="9"/>
      <c r="CPW37" s="9"/>
      <c r="CPX37" s="9"/>
      <c r="CPY37" s="9"/>
      <c r="CPZ37" s="9"/>
      <c r="CQA37" s="9"/>
      <c r="CQB37" s="9"/>
      <c r="CQC37" s="9"/>
      <c r="CQD37" s="9"/>
      <c r="CQE37" s="9"/>
      <c r="CQF37" s="9"/>
      <c r="CQG37" s="9"/>
      <c r="CQH37" s="9"/>
      <c r="CQI37" s="9"/>
      <c r="CQJ37" s="9"/>
      <c r="CQK37" s="9"/>
      <c r="CQL37" s="9"/>
      <c r="CQM37" s="9"/>
      <c r="CQN37" s="9"/>
      <c r="CQO37" s="9"/>
      <c r="CQP37" s="9"/>
      <c r="CQQ37" s="9"/>
      <c r="CQR37" s="9"/>
      <c r="CQS37" s="9"/>
      <c r="CQT37" s="9"/>
      <c r="CQU37" s="9"/>
      <c r="CQV37" s="9"/>
      <c r="CQW37" s="9"/>
      <c r="CQX37" s="9"/>
      <c r="CQY37" s="9"/>
      <c r="CQZ37" s="9"/>
      <c r="CRA37" s="9"/>
      <c r="CRB37" s="9"/>
      <c r="CRC37" s="9"/>
      <c r="CRD37" s="9"/>
      <c r="CRE37" s="9"/>
      <c r="CRF37" s="9"/>
      <c r="CRG37" s="9"/>
      <c r="CRH37" s="9"/>
      <c r="CRI37" s="9"/>
      <c r="CRJ37" s="9"/>
      <c r="CRK37" s="9"/>
      <c r="CRL37" s="9"/>
      <c r="CRM37" s="9"/>
      <c r="CRN37" s="9"/>
      <c r="CRO37" s="9"/>
      <c r="CRP37" s="9"/>
      <c r="CRQ37" s="9"/>
      <c r="CRR37" s="9"/>
      <c r="CRS37" s="9"/>
      <c r="CRT37" s="9"/>
      <c r="CRU37" s="9"/>
      <c r="CRV37" s="9"/>
      <c r="CRW37" s="9"/>
      <c r="CRX37" s="9"/>
      <c r="CRY37" s="9"/>
      <c r="CRZ37" s="9"/>
      <c r="CSA37" s="9"/>
      <c r="CSB37" s="9"/>
      <c r="CSC37" s="9"/>
      <c r="CSD37" s="9"/>
      <c r="CSE37" s="9"/>
      <c r="CSF37" s="9"/>
      <c r="CSG37" s="9"/>
      <c r="CSH37" s="9"/>
      <c r="CSI37" s="9"/>
      <c r="CSJ37" s="9"/>
      <c r="CSK37" s="9"/>
      <c r="CSL37" s="9"/>
      <c r="CSM37" s="9"/>
      <c r="CSN37" s="9"/>
      <c r="CSO37" s="9"/>
      <c r="CSP37" s="9"/>
      <c r="CSQ37" s="9"/>
      <c r="CSR37" s="9"/>
      <c r="CSS37" s="9"/>
      <c r="CST37" s="9"/>
      <c r="CSU37" s="9"/>
      <c r="CSV37" s="9"/>
      <c r="CSW37" s="9"/>
      <c r="CSX37" s="9"/>
      <c r="CSY37" s="9"/>
      <c r="CSZ37" s="9"/>
      <c r="CTA37" s="9"/>
      <c r="CTB37" s="9"/>
      <c r="CTC37" s="9"/>
      <c r="CTD37" s="9"/>
      <c r="CTE37" s="9"/>
      <c r="CTF37" s="9"/>
      <c r="CTG37" s="9"/>
      <c r="CTH37" s="9"/>
      <c r="CTI37" s="9"/>
      <c r="CTJ37" s="9"/>
      <c r="CTK37" s="9"/>
      <c r="CTL37" s="9"/>
      <c r="CTM37" s="9"/>
      <c r="CTN37" s="9"/>
      <c r="CTO37" s="9"/>
      <c r="CTP37" s="9"/>
      <c r="CTQ37" s="9"/>
      <c r="CTR37" s="9"/>
      <c r="CTS37" s="9"/>
      <c r="CTT37" s="9"/>
      <c r="CTU37" s="9"/>
      <c r="CTV37" s="9"/>
      <c r="CTW37" s="9"/>
      <c r="CTX37" s="9"/>
      <c r="CTY37" s="9"/>
      <c r="CTZ37" s="9"/>
    </row>
    <row r="38" spans="1:2574" s="11" customFormat="1" ht="15.6" x14ac:dyDescent="0.3">
      <c r="A38" s="75">
        <v>7</v>
      </c>
      <c r="B38" s="70" t="s">
        <v>79</v>
      </c>
      <c r="C38" s="5" t="s">
        <v>71</v>
      </c>
      <c r="D38" s="82" t="s">
        <v>104</v>
      </c>
      <c r="E38" s="6">
        <v>304</v>
      </c>
      <c r="F38" s="85" t="s">
        <v>93</v>
      </c>
      <c r="G38" s="86"/>
      <c r="H38" s="5" t="s">
        <v>63</v>
      </c>
      <c r="I38" s="71">
        <v>1200</v>
      </c>
      <c r="J38" s="5">
        <f t="shared" si="0"/>
        <v>200</v>
      </c>
      <c r="K38" s="72">
        <v>1.03</v>
      </c>
      <c r="L38" s="72">
        <f t="shared" si="1"/>
        <v>1236</v>
      </c>
      <c r="M38" s="73">
        <v>0.41579999999999995</v>
      </c>
      <c r="N38" s="73">
        <f t="shared" si="2"/>
        <v>498.95999999999992</v>
      </c>
      <c r="O38" s="5">
        <v>73064000</v>
      </c>
      <c r="P38" s="60" t="s">
        <v>107</v>
      </c>
      <c r="Q38" s="4"/>
      <c r="R38" s="43" t="s">
        <v>62</v>
      </c>
      <c r="S38" s="66"/>
      <c r="T38" s="15"/>
      <c r="U38" s="15"/>
      <c r="V38" s="15"/>
      <c r="W38" s="15"/>
    </row>
    <row r="39" spans="1:2574" s="11" customFormat="1" ht="15.6" x14ac:dyDescent="0.3">
      <c r="A39" s="75">
        <v>8</v>
      </c>
      <c r="B39" s="70" t="s">
        <v>80</v>
      </c>
      <c r="C39" s="5" t="s">
        <v>71</v>
      </c>
      <c r="D39" s="82" t="s">
        <v>104</v>
      </c>
      <c r="E39" s="6">
        <v>304</v>
      </c>
      <c r="F39" s="85" t="s">
        <v>94</v>
      </c>
      <c r="G39" s="86"/>
      <c r="H39" s="5" t="s">
        <v>63</v>
      </c>
      <c r="I39" s="71">
        <v>1800</v>
      </c>
      <c r="J39" s="5">
        <f t="shared" si="0"/>
        <v>300</v>
      </c>
      <c r="K39" s="72">
        <v>1.61</v>
      </c>
      <c r="L39" s="72">
        <f t="shared" si="1"/>
        <v>2898</v>
      </c>
      <c r="M39" s="73">
        <v>0.65154375000000009</v>
      </c>
      <c r="N39" s="73">
        <f t="shared" si="2"/>
        <v>1172.7787500000002</v>
      </c>
      <c r="O39" s="5">
        <v>73064000</v>
      </c>
      <c r="P39" s="60" t="s">
        <v>107</v>
      </c>
      <c r="Q39" s="4"/>
      <c r="R39" s="43" t="s">
        <v>62</v>
      </c>
      <c r="S39" s="67"/>
      <c r="T39" s="16"/>
      <c r="U39" s="16"/>
      <c r="V39" s="16"/>
      <c r="W39" s="16"/>
    </row>
    <row r="40" spans="1:2574" s="11" customFormat="1" ht="15.6" x14ac:dyDescent="0.3">
      <c r="A40" s="75">
        <v>9</v>
      </c>
      <c r="B40" s="70" t="s">
        <v>81</v>
      </c>
      <c r="C40" s="5" t="s">
        <v>71</v>
      </c>
      <c r="D40" s="82" t="s">
        <v>104</v>
      </c>
      <c r="E40" s="6">
        <v>304</v>
      </c>
      <c r="F40" s="85" t="s">
        <v>95</v>
      </c>
      <c r="G40" s="86"/>
      <c r="H40" s="5" t="s">
        <v>63</v>
      </c>
      <c r="I40" s="71">
        <v>1500</v>
      </c>
      <c r="J40" s="5">
        <f t="shared" si="0"/>
        <v>250</v>
      </c>
      <c r="K40" s="72">
        <v>2.19</v>
      </c>
      <c r="L40" s="72">
        <f t="shared" si="1"/>
        <v>3285</v>
      </c>
      <c r="M40" s="73">
        <v>0.8872874999999999</v>
      </c>
      <c r="N40" s="73">
        <f t="shared" si="2"/>
        <v>1330.9312499999999</v>
      </c>
      <c r="O40" s="5">
        <v>73064000</v>
      </c>
      <c r="P40" s="60" t="s">
        <v>107</v>
      </c>
      <c r="Q40" s="4"/>
      <c r="R40" s="43" t="s">
        <v>62</v>
      </c>
      <c r="S40" s="66"/>
      <c r="T40" s="15"/>
      <c r="U40" s="15"/>
      <c r="V40" s="15"/>
      <c r="W40" s="15"/>
    </row>
    <row r="41" spans="1:2574" s="17" customFormat="1" ht="15.6" x14ac:dyDescent="0.3">
      <c r="A41" s="75">
        <v>10</v>
      </c>
      <c r="B41" s="70" t="s">
        <v>82</v>
      </c>
      <c r="C41" s="5" t="s">
        <v>71</v>
      </c>
      <c r="D41" s="82" t="s">
        <v>104</v>
      </c>
      <c r="E41" s="6">
        <v>304</v>
      </c>
      <c r="F41" s="85" t="s">
        <v>96</v>
      </c>
      <c r="G41" s="86"/>
      <c r="H41" s="5" t="s">
        <v>63</v>
      </c>
      <c r="I41" s="71">
        <v>450</v>
      </c>
      <c r="J41" s="5">
        <f t="shared" si="0"/>
        <v>75</v>
      </c>
      <c r="K41" s="72">
        <v>2.77</v>
      </c>
      <c r="L41" s="72">
        <f t="shared" si="1"/>
        <v>1246.5</v>
      </c>
      <c r="M41" s="73">
        <v>1.1230312500000001</v>
      </c>
      <c r="N41" s="73">
        <f t="shared" si="2"/>
        <v>505.36406250000005</v>
      </c>
      <c r="O41" s="5">
        <v>73064000</v>
      </c>
      <c r="P41" s="60" t="s">
        <v>107</v>
      </c>
      <c r="Q41" s="4"/>
      <c r="R41" s="43" t="s">
        <v>62</v>
      </c>
      <c r="S41" s="68"/>
    </row>
    <row r="42" spans="1:2574" s="17" customFormat="1" ht="15.6" x14ac:dyDescent="0.3">
      <c r="A42" s="75">
        <v>11</v>
      </c>
      <c r="B42" s="70" t="s">
        <v>83</v>
      </c>
      <c r="C42" s="5" t="s">
        <v>71</v>
      </c>
      <c r="D42" s="82" t="s">
        <v>104</v>
      </c>
      <c r="E42" s="6">
        <v>304</v>
      </c>
      <c r="F42" s="85" t="s">
        <v>97</v>
      </c>
      <c r="G42" s="86"/>
      <c r="H42" s="5" t="s">
        <v>63</v>
      </c>
      <c r="I42" s="71">
        <v>2700</v>
      </c>
      <c r="J42" s="5">
        <f t="shared" si="0"/>
        <v>450</v>
      </c>
      <c r="K42" s="72">
        <v>3.36</v>
      </c>
      <c r="L42" s="72">
        <f t="shared" si="1"/>
        <v>9072</v>
      </c>
      <c r="M42" s="73">
        <v>1.3587750000000003</v>
      </c>
      <c r="N42" s="73">
        <f t="shared" si="2"/>
        <v>3668.6925000000006</v>
      </c>
      <c r="O42" s="5">
        <v>73064000</v>
      </c>
      <c r="P42" s="60" t="s">
        <v>107</v>
      </c>
      <c r="Q42" s="4"/>
      <c r="R42" s="43" t="s">
        <v>62</v>
      </c>
      <c r="S42" s="69"/>
    </row>
    <row r="43" spans="1:2574" s="9" customFormat="1" ht="15.6" x14ac:dyDescent="0.3">
      <c r="A43" s="75">
        <v>12</v>
      </c>
      <c r="B43" s="70" t="s">
        <v>84</v>
      </c>
      <c r="C43" s="5" t="s">
        <v>71</v>
      </c>
      <c r="D43" s="82" t="s">
        <v>104</v>
      </c>
      <c r="E43" s="6">
        <v>304</v>
      </c>
      <c r="F43" s="85" t="s">
        <v>98</v>
      </c>
      <c r="G43" s="86"/>
      <c r="H43" s="5" t="s">
        <v>63</v>
      </c>
      <c r="I43" s="71">
        <v>3780</v>
      </c>
      <c r="J43" s="5">
        <f t="shared" si="0"/>
        <v>630</v>
      </c>
      <c r="K43" s="72">
        <v>4.5199999999999996</v>
      </c>
      <c r="L43" s="72">
        <f t="shared" si="1"/>
        <v>17085.599999999999</v>
      </c>
      <c r="M43" s="73">
        <v>1.8302624999999999</v>
      </c>
      <c r="N43" s="73">
        <f t="shared" si="2"/>
        <v>6918.3922499999999</v>
      </c>
      <c r="O43" s="5">
        <v>73064000</v>
      </c>
      <c r="P43" s="60" t="s">
        <v>107</v>
      </c>
      <c r="Q43" s="4"/>
      <c r="R43" s="43" t="s">
        <v>62</v>
      </c>
      <c r="S43" s="62"/>
      <c r="T43" s="8"/>
      <c r="U43" s="8"/>
      <c r="V43" s="8"/>
      <c r="W43" s="8"/>
    </row>
    <row r="44" spans="1:2574" s="7" customFormat="1" x14ac:dyDescent="0.3">
      <c r="A44" s="75">
        <v>13</v>
      </c>
      <c r="B44" s="70" t="s">
        <v>85</v>
      </c>
      <c r="C44" s="5" t="s">
        <v>71</v>
      </c>
      <c r="D44" s="82" t="s">
        <v>104</v>
      </c>
      <c r="E44" s="6">
        <v>304</v>
      </c>
      <c r="F44" s="85" t="s">
        <v>99</v>
      </c>
      <c r="G44" s="86"/>
      <c r="H44" s="5" t="s">
        <v>63</v>
      </c>
      <c r="I44" s="71">
        <v>216</v>
      </c>
      <c r="J44" s="5">
        <f t="shared" si="0"/>
        <v>36</v>
      </c>
      <c r="K44" s="72">
        <v>5.69</v>
      </c>
      <c r="L44" s="72">
        <f t="shared" si="1"/>
        <v>1229.0400000000002</v>
      </c>
      <c r="M44" s="73">
        <v>2.3017500000000002</v>
      </c>
      <c r="N44" s="73">
        <f t="shared" si="2"/>
        <v>497.17800000000005</v>
      </c>
      <c r="O44" s="5">
        <v>73064000</v>
      </c>
      <c r="P44" s="60" t="s">
        <v>107</v>
      </c>
      <c r="Q44" s="4"/>
      <c r="R44" s="43" t="s">
        <v>62</v>
      </c>
    </row>
    <row r="45" spans="1:2574" s="7" customFormat="1" x14ac:dyDescent="0.3">
      <c r="A45" s="75">
        <v>14</v>
      </c>
      <c r="B45" s="70" t="s">
        <v>86</v>
      </c>
      <c r="C45" s="5" t="s">
        <v>71</v>
      </c>
      <c r="D45" s="82" t="s">
        <v>104</v>
      </c>
      <c r="E45" s="6">
        <v>304</v>
      </c>
      <c r="F45" s="85" t="s">
        <v>100</v>
      </c>
      <c r="G45" s="86"/>
      <c r="H45" s="5" t="s">
        <v>63</v>
      </c>
      <c r="I45" s="71">
        <v>1200</v>
      </c>
      <c r="J45" s="5">
        <f t="shared" si="0"/>
        <v>200</v>
      </c>
      <c r="K45" s="72">
        <v>6.85</v>
      </c>
      <c r="L45" s="72">
        <f t="shared" si="1"/>
        <v>8220</v>
      </c>
      <c r="M45" s="73">
        <v>2.7732375000000005</v>
      </c>
      <c r="N45" s="73">
        <f t="shared" si="2"/>
        <v>3327.8850000000007</v>
      </c>
      <c r="O45" s="5">
        <v>73064000</v>
      </c>
      <c r="P45" s="60" t="s">
        <v>107</v>
      </c>
      <c r="Q45" s="4"/>
      <c r="R45" s="43" t="s">
        <v>62</v>
      </c>
    </row>
    <row r="46" spans="1:2574" s="7" customFormat="1" ht="14.4" thickBot="1" x14ac:dyDescent="0.35">
      <c r="A46" s="75">
        <v>15</v>
      </c>
      <c r="B46" s="70" t="s">
        <v>87</v>
      </c>
      <c r="C46" s="5" t="s">
        <v>71</v>
      </c>
      <c r="D46" s="82" t="s">
        <v>104</v>
      </c>
      <c r="E46" s="6">
        <v>304</v>
      </c>
      <c r="F46" s="85" t="s">
        <v>101</v>
      </c>
      <c r="G46" s="86"/>
      <c r="H46" s="5" t="s">
        <v>63</v>
      </c>
      <c r="I46" s="71">
        <v>900</v>
      </c>
      <c r="J46" s="5">
        <f t="shared" si="0"/>
        <v>150</v>
      </c>
      <c r="K46" s="72">
        <v>9.18</v>
      </c>
      <c r="L46" s="72">
        <f t="shared" si="1"/>
        <v>8262</v>
      </c>
      <c r="M46" s="73">
        <v>3.7162124999999997</v>
      </c>
      <c r="N46" s="73">
        <f t="shared" si="2"/>
        <v>3344.5912499999999</v>
      </c>
      <c r="O46" s="5">
        <v>73064000</v>
      </c>
      <c r="P46" s="60" t="s">
        <v>107</v>
      </c>
      <c r="Q46" s="4"/>
      <c r="R46" s="43" t="s">
        <v>62</v>
      </c>
    </row>
    <row r="47" spans="1:2574" s="7" customFormat="1" ht="22.5" customHeight="1" thickBot="1" x14ac:dyDescent="0.35">
      <c r="A47" s="44"/>
      <c r="B47" s="45"/>
      <c r="C47" s="45"/>
      <c r="D47" s="45"/>
      <c r="E47" s="46"/>
      <c r="F47" s="45"/>
      <c r="G47" s="45"/>
      <c r="H47" s="47"/>
      <c r="I47" s="76">
        <f>SUM(I32:I46)</f>
        <v>19314</v>
      </c>
      <c r="J47" s="77"/>
      <c r="K47" s="78"/>
      <c r="L47" s="79">
        <f>SUBTOTAL(9,L32:L46)</f>
        <v>65840.639999999999</v>
      </c>
      <c r="M47" s="80"/>
      <c r="N47" s="81">
        <f>SUBTOTAL(9,N32:N46)</f>
        <v>26648.364352500004</v>
      </c>
      <c r="O47" s="48"/>
      <c r="P47" s="45"/>
      <c r="Q47" s="45"/>
      <c r="R47" s="49"/>
    </row>
    <row r="48" spans="1:2574" s="7" customFormat="1" ht="14.4" hidden="1" thickBot="1" x14ac:dyDescent="0.35">
      <c r="A48" s="51"/>
      <c r="B48" s="52"/>
      <c r="C48" s="52"/>
      <c r="D48" s="52"/>
      <c r="E48" s="53"/>
      <c r="F48" s="52"/>
      <c r="G48" s="52"/>
      <c r="H48" s="53"/>
      <c r="I48" s="54"/>
      <c r="J48" s="53"/>
      <c r="K48" s="55"/>
      <c r="L48" s="56"/>
      <c r="M48" s="57"/>
      <c r="N48" s="58"/>
      <c r="O48" s="59"/>
    </row>
    <row r="49" spans="1:10" ht="13.95" customHeight="1" x14ac:dyDescent="0.3">
      <c r="A49" s="102" t="s">
        <v>105</v>
      </c>
      <c r="B49" s="103"/>
      <c r="C49" s="103"/>
      <c r="D49" s="103"/>
      <c r="E49" s="103"/>
      <c r="F49" s="103"/>
      <c r="G49" s="103"/>
      <c r="H49" s="103"/>
      <c r="I49" s="103"/>
      <c r="J49" s="104"/>
    </row>
    <row r="50" spans="1:10" ht="14.4" x14ac:dyDescent="0.3">
      <c r="A50" s="157" t="s">
        <v>25</v>
      </c>
      <c r="B50" s="158"/>
      <c r="C50" s="158"/>
      <c r="D50" s="99"/>
      <c r="E50" s="100"/>
      <c r="F50" s="100"/>
      <c r="G50" s="100"/>
      <c r="H50" s="100"/>
      <c r="I50" s="100"/>
      <c r="J50" s="101"/>
    </row>
    <row r="51" spans="1:10" ht="17.7" customHeight="1" x14ac:dyDescent="0.25">
      <c r="A51" s="155" t="s">
        <v>17</v>
      </c>
      <c r="B51" s="156"/>
      <c r="C51" s="156"/>
      <c r="D51" s="156"/>
      <c r="E51" s="159"/>
      <c r="F51" s="160" t="s">
        <v>24</v>
      </c>
      <c r="G51" s="161"/>
      <c r="H51" s="96" t="s">
        <v>103</v>
      </c>
      <c r="I51" s="97"/>
      <c r="J51" s="98"/>
    </row>
    <row r="52" spans="1:10" ht="13.95" customHeight="1" x14ac:dyDescent="0.3">
      <c r="A52" s="155" t="s">
        <v>18</v>
      </c>
      <c r="B52" s="156"/>
      <c r="C52" s="156"/>
      <c r="D52" s="156"/>
      <c r="E52" s="159"/>
      <c r="F52" s="99"/>
      <c r="G52" s="100"/>
      <c r="H52" s="100"/>
      <c r="I52" s="100"/>
      <c r="J52" s="101"/>
    </row>
    <row r="53" spans="1:10" ht="13.2" customHeight="1" x14ac:dyDescent="0.25">
      <c r="A53" s="155" t="s">
        <v>19</v>
      </c>
      <c r="B53" s="156"/>
      <c r="C53" s="156"/>
      <c r="D53" s="156"/>
      <c r="E53" s="156"/>
      <c r="F53" s="87" t="s">
        <v>44</v>
      </c>
      <c r="G53" s="88"/>
      <c r="H53" s="88"/>
      <c r="I53" s="88"/>
      <c r="J53" s="89"/>
    </row>
    <row r="54" spans="1:10" ht="13.2" customHeight="1" x14ac:dyDescent="0.25">
      <c r="A54" s="155" t="s">
        <v>20</v>
      </c>
      <c r="B54" s="156"/>
      <c r="C54" s="156"/>
      <c r="D54" s="156"/>
      <c r="E54" s="156"/>
      <c r="F54" s="90"/>
      <c r="G54" s="91"/>
      <c r="H54" s="91"/>
      <c r="I54" s="91"/>
      <c r="J54" s="92"/>
    </row>
    <row r="55" spans="1:10" ht="16.95" customHeight="1" x14ac:dyDescent="0.25">
      <c r="A55" s="149" t="s">
        <v>36</v>
      </c>
      <c r="B55" s="150"/>
      <c r="C55" s="150"/>
      <c r="D55" s="150"/>
      <c r="E55" s="151"/>
      <c r="F55" s="90"/>
      <c r="G55" s="91"/>
      <c r="H55" s="91"/>
      <c r="I55" s="91"/>
      <c r="J55" s="92"/>
    </row>
    <row r="56" spans="1:10" ht="22.2" customHeight="1" x14ac:dyDescent="0.25">
      <c r="A56" s="149" t="s">
        <v>37</v>
      </c>
      <c r="B56" s="150"/>
      <c r="C56" s="150"/>
      <c r="D56" s="150"/>
      <c r="E56" s="151"/>
      <c r="F56" s="90"/>
      <c r="G56" s="91"/>
      <c r="H56" s="91"/>
      <c r="I56" s="91"/>
      <c r="J56" s="92"/>
    </row>
    <row r="57" spans="1:10" ht="24" customHeight="1" thickBot="1" x14ac:dyDescent="0.3">
      <c r="A57" s="152" t="s">
        <v>38</v>
      </c>
      <c r="B57" s="153"/>
      <c r="C57" s="153"/>
      <c r="D57" s="153"/>
      <c r="E57" s="154"/>
      <c r="F57" s="93"/>
      <c r="G57" s="94"/>
      <c r="H57" s="94"/>
      <c r="I57" s="94"/>
      <c r="J57" s="95"/>
    </row>
    <row r="61" spans="1:10" x14ac:dyDescent="0.25">
      <c r="F61"/>
    </row>
  </sheetData>
  <sortState xmlns:xlrd2="http://schemas.microsoft.com/office/spreadsheetml/2017/richdata2" ref="A32:R46">
    <sortCondition ref="B32:B46"/>
  </sortState>
  <mergeCells count="82">
    <mergeCell ref="E26:G27"/>
    <mergeCell ref="E28:G29"/>
    <mergeCell ref="A27:B27"/>
    <mergeCell ref="C27:D27"/>
    <mergeCell ref="A28:B28"/>
    <mergeCell ref="C28:D28"/>
    <mergeCell ref="A29:B29"/>
    <mergeCell ref="C29:D29"/>
    <mergeCell ref="A1:I6"/>
    <mergeCell ref="A55:E55"/>
    <mergeCell ref="A56:E56"/>
    <mergeCell ref="A57:E57"/>
    <mergeCell ref="A53:E53"/>
    <mergeCell ref="A54:E54"/>
    <mergeCell ref="A50:C50"/>
    <mergeCell ref="A51:E51"/>
    <mergeCell ref="A52:E52"/>
    <mergeCell ref="F51:G51"/>
    <mergeCell ref="E9:F9"/>
    <mergeCell ref="A30:I30"/>
    <mergeCell ref="A25:D25"/>
    <mergeCell ref="E25:I25"/>
    <mergeCell ref="A26:B26"/>
    <mergeCell ref="C26:D26"/>
    <mergeCell ref="A22:D22"/>
    <mergeCell ref="E22:F22"/>
    <mergeCell ref="G22:I22"/>
    <mergeCell ref="A23:D24"/>
    <mergeCell ref="E23:F23"/>
    <mergeCell ref="G23:I23"/>
    <mergeCell ref="E24:I24"/>
    <mergeCell ref="A21:D21"/>
    <mergeCell ref="E21:I21"/>
    <mergeCell ref="A16:D16"/>
    <mergeCell ref="E16:I16"/>
    <mergeCell ref="A17:D17"/>
    <mergeCell ref="E17:I17"/>
    <mergeCell ref="A18:D18"/>
    <mergeCell ref="E18:I18"/>
    <mergeCell ref="A7:J7"/>
    <mergeCell ref="A19:D19"/>
    <mergeCell ref="E19:I19"/>
    <mergeCell ref="A20:D20"/>
    <mergeCell ref="E20:I20"/>
    <mergeCell ref="A12:D12"/>
    <mergeCell ref="E12:I12"/>
    <mergeCell ref="A8:D8"/>
    <mergeCell ref="E8:F8"/>
    <mergeCell ref="G8:I8"/>
    <mergeCell ref="A9:D9"/>
    <mergeCell ref="A10:D10"/>
    <mergeCell ref="E10:I10"/>
    <mergeCell ref="A11:D11"/>
    <mergeCell ref="E11:F11"/>
    <mergeCell ref="G11:I11"/>
    <mergeCell ref="A13:D13"/>
    <mergeCell ref="E13:I13"/>
    <mergeCell ref="A14:D14"/>
    <mergeCell ref="E14:I14"/>
    <mergeCell ref="A15:D15"/>
    <mergeCell ref="E15:I15"/>
    <mergeCell ref="F53:J57"/>
    <mergeCell ref="H51:J51"/>
    <mergeCell ref="D50:J50"/>
    <mergeCell ref="A49:J49"/>
    <mergeCell ref="F52:J52"/>
    <mergeCell ref="F31:G31"/>
    <mergeCell ref="F43:G43"/>
    <mergeCell ref="F44:G44"/>
    <mergeCell ref="F45:G45"/>
    <mergeCell ref="F46:G46"/>
    <mergeCell ref="F39:G39"/>
    <mergeCell ref="F40:G40"/>
    <mergeCell ref="F41:G41"/>
    <mergeCell ref="F42:G42"/>
    <mergeCell ref="F35:G35"/>
    <mergeCell ref="F36:G36"/>
    <mergeCell ref="F37:G37"/>
    <mergeCell ref="F38:G38"/>
    <mergeCell ref="F32:G32"/>
    <mergeCell ref="F33:G33"/>
    <mergeCell ref="F34:G34"/>
  </mergeCells>
  <hyperlinks>
    <hyperlink ref="A15" r:id="rId1" display="mailto:export@nascentgroup.in" xr:uid="{0A794FF3-ADEB-44ED-82D2-4DDD303CA3D2}"/>
  </hyperlinks>
  <pageMargins left="0.7" right="0.7" top="0.75" bottom="0.75" header="0.3" footer="0.3"/>
  <pageSetup paperSize="9" scale="31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Importação Metal</cp:lastModifiedBy>
  <cp:lastPrinted>2026-06-08T19:34:16Z</cp:lastPrinted>
  <dcterms:created xsi:type="dcterms:W3CDTF">2025-04-04T06:20:05Z</dcterms:created>
  <dcterms:modified xsi:type="dcterms:W3CDTF">2026-06-09T14:45:20Z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2025-04-04T00:00:00Z</vt:filetime>
  </property>
  <property fmtid="{D5CDD505-2E9C-101B-9397-08002B2CF9AE}" pid="5" name="Producer">
    <vt:lpwstr>Microsoft® Excel® 2016</vt:lpwstr>
  </property>
</Properties>
</file>
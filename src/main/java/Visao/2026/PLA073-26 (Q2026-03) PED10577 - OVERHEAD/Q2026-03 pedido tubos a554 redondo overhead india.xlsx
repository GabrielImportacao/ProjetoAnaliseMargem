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8_{8A4CCF42-0B85-4C06-AD77-BA0549934C96}" xr6:coauthVersionLast="47" xr6:coauthVersionMax="47" xr10:uidLastSave="{00000000-0000-0000-0000-000000000000}"/>
  <bookViews>
    <workbookView xWindow="-110" yWindow="-110" windowWidth="19420" windowHeight="11500" xr2:uid="{DBAADD51-96D3-4F18-B343-DD2931149E3C}"/>
  </bookViews>
  <sheets>
    <sheet name="Q2026-03 pedido OVERHEAD India" sheetId="1" r:id="rId1"/>
  </sheets>
  <definedNames>
    <definedName name="_xlnm._FilterDatabase" localSheetId="0" hidden="1">'Q2026-03 pedido OVERHEAD India'!$A$1:$P$24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3" i="1" l="1"/>
  <c r="M23" i="1"/>
  <c r="K23" i="1"/>
  <c r="N22" i="1"/>
  <c r="M22" i="1"/>
  <c r="K22" i="1"/>
  <c r="N21" i="1"/>
  <c r="M21" i="1"/>
  <c r="K21" i="1"/>
  <c r="N20" i="1"/>
  <c r="M20" i="1"/>
  <c r="K20" i="1"/>
  <c r="N19" i="1"/>
  <c r="M19" i="1"/>
  <c r="K19" i="1"/>
  <c r="N18" i="1"/>
  <c r="M18" i="1"/>
  <c r="K18" i="1"/>
  <c r="N17" i="1"/>
  <c r="M17" i="1"/>
  <c r="K17" i="1"/>
  <c r="N16" i="1"/>
  <c r="M16" i="1"/>
  <c r="K16" i="1"/>
  <c r="N15" i="1"/>
  <c r="M15" i="1"/>
  <c r="K15" i="1"/>
  <c r="N14" i="1"/>
  <c r="M14" i="1"/>
  <c r="K14" i="1"/>
  <c r="N13" i="1"/>
  <c r="M13" i="1"/>
  <c r="K13" i="1"/>
  <c r="N12" i="1"/>
  <c r="M12" i="1"/>
  <c r="K12" i="1"/>
  <c r="N11" i="1"/>
  <c r="M11" i="1"/>
  <c r="K11" i="1"/>
  <c r="N10" i="1"/>
  <c r="M10" i="1"/>
  <c r="K10" i="1"/>
  <c r="N9" i="1"/>
  <c r="M9" i="1"/>
  <c r="K9" i="1"/>
  <c r="N8" i="1"/>
  <c r="M8" i="1"/>
  <c r="K8" i="1"/>
  <c r="N7" i="1"/>
  <c r="M7" i="1"/>
  <c r="K7" i="1"/>
  <c r="N6" i="1"/>
  <c r="M6" i="1"/>
  <c r="K6" i="1"/>
  <c r="N5" i="1"/>
  <c r="M5" i="1"/>
  <c r="K5" i="1"/>
  <c r="N4" i="1"/>
  <c r="M4" i="1"/>
  <c r="K4" i="1"/>
  <c r="N3" i="1"/>
  <c r="M3" i="1"/>
  <c r="K3" i="1"/>
  <c r="N2" i="1"/>
  <c r="M2" i="1"/>
  <c r="K2" i="1"/>
  <c r="N24" i="1" l="1"/>
  <c r="M24" i="1"/>
  <c r="K24" i="1"/>
</calcChain>
</file>

<file path=xl/sharedStrings.xml><?xml version="1.0" encoding="utf-8"?>
<sst xmlns="http://schemas.openxmlformats.org/spreadsheetml/2006/main" count="131" uniqueCount="70">
  <si>
    <t>ITEM</t>
  </si>
  <si>
    <t>ITEM ID.</t>
  </si>
  <si>
    <t>Standard</t>
  </si>
  <si>
    <t>DESCRIPTION ENGLISH</t>
  </si>
  <si>
    <t>MATERIAL</t>
  </si>
  <si>
    <t>SIZE(Thickness x Length)</t>
  </si>
  <si>
    <t>Unit</t>
  </si>
  <si>
    <t>1st Shipment</t>
  </si>
  <si>
    <t>2nd Shipment</t>
  </si>
  <si>
    <t>Overhead India Price unit. USD</t>
  </si>
  <si>
    <t>Overhead India Price Total USD</t>
  </si>
  <si>
    <t>NET WEIGHT (kg)</t>
  </si>
  <si>
    <t>1st Shpt. Total N.W. (KG)</t>
  </si>
  <si>
    <t>2nd Shpt. Total N.W. (KG)</t>
  </si>
  <si>
    <t>NCM</t>
  </si>
  <si>
    <t>Heat Number</t>
  </si>
  <si>
    <t>MSC2403.1104</t>
  </si>
  <si>
    <t>A554</t>
  </si>
  <si>
    <t>TUBE ROUND WELDED/ASTM A554 ORNAMENTAL STAINLESS/ OUTSIDE POLISHED 600 GRIT /THICKNESS 1.2MM X LENGTH 6000MM/PC</t>
  </si>
  <si>
    <t>OD012,70 (1/2P) x 1,2MM x 6MTS</t>
  </si>
  <si>
    <t>METERS</t>
  </si>
  <si>
    <t>MSC2403.1196</t>
  </si>
  <si>
    <t>OD015,875 (5/8P) x 1,2MM x 6MTS</t>
  </si>
  <si>
    <t>MSC2403.1105</t>
  </si>
  <si>
    <t>OD019,05 (3/4P) x 1,2MM x 6MTS</t>
  </si>
  <si>
    <t>MSC2403.1195</t>
  </si>
  <si>
    <t>OD022,225 (7/8P) x 1,2MM x 6MTS</t>
  </si>
  <si>
    <t>MSC2403.1106</t>
  </si>
  <si>
    <t>OD025,40 (1P) x 1,2MM x 6MTS</t>
  </si>
  <si>
    <t>MSC2403.1107</t>
  </si>
  <si>
    <t>OD031,75 (1.1/4P) x 1,2MM x 6MTS</t>
  </si>
  <si>
    <t>MSC2403.1108</t>
  </si>
  <si>
    <t>OD038,10 (1.1/2P) x 1,2MM x 6MTS</t>
  </si>
  <si>
    <t>MSC2403.1109</t>
  </si>
  <si>
    <t>OD050,80 (2P) x 1,2MM x 6MTS</t>
  </si>
  <si>
    <t>MSC2403.1204</t>
  </si>
  <si>
    <t>TUBE ROUND WELDED/ASTM A554 ORNAMENTAL STAINLESS/ OUTSIDE POLISHED 600 GRIT /THICKNESS 1.5MM X LENGTH 6000MM/PC</t>
  </si>
  <si>
    <t>OD012,70 (1/2P) x 1,5MM x 6MTS</t>
  </si>
  <si>
    <t>MSC2403.1296</t>
  </si>
  <si>
    <t>OD015,875 (5/8P) x 1,5MM x 6MTS</t>
  </si>
  <si>
    <t>MSC2403.1205</t>
  </si>
  <si>
    <t>OD019,05 (3/4P) x 1,5MM x 6MTS</t>
  </si>
  <si>
    <t>MSC2403.1295</t>
  </si>
  <si>
    <t>OD022,225 (7/8P) x 1,5MM x 6MTS</t>
  </si>
  <si>
    <t>MSC2403.1206</t>
  </si>
  <si>
    <t>OD025,40 (1P) x 1,5MM x 6MTS</t>
  </si>
  <si>
    <t>MSC2403.1207</t>
  </si>
  <si>
    <t>OD031,75 (1.1/4P) x 1,5MM x 6MTS</t>
  </si>
  <si>
    <t>MSC2403.1208</t>
  </si>
  <si>
    <t>OD038,10 (1.1/2P) x 1,5MM x 6MTS</t>
  </si>
  <si>
    <t>MSC2403.1209</t>
  </si>
  <si>
    <t>OD050,80 (2P) x 1,5MM x 6MTS</t>
  </si>
  <si>
    <t>MSC2403.1210</t>
  </si>
  <si>
    <t>OD063,50 (2.1/2P) x 1,5MM x 6MTS</t>
  </si>
  <si>
    <t>MSC2403.1211</t>
  </si>
  <si>
    <t>OD076,20 (3P) x 1,5MM x 6MTS</t>
  </si>
  <si>
    <t>MSC2403.1212</t>
  </si>
  <si>
    <t>OD101,60 (4P) x 1,5MM x 6MTS</t>
  </si>
  <si>
    <t>MSC2403.1413</t>
  </si>
  <si>
    <t>TUBE ROUND WELDED/ASTM A554 ORNAMENTAL STAINLESS/ OUTSIDE POLISHED 600 GRIT /THICKNESS 2.00MM X LENGTH 6000MM/PC</t>
  </si>
  <si>
    <t>OD127,00 (5P) x 2,0MM</t>
  </si>
  <si>
    <t>MSC2403.1414</t>
  </si>
  <si>
    <t>OD152,40 (6P) x 2,0MM</t>
  </si>
  <si>
    <t>MSC2403.1415</t>
  </si>
  <si>
    <t>OD203,20 (8P) x 2,0MM</t>
  </si>
  <si>
    <t>Prazo de entrega; 40dias</t>
  </si>
  <si>
    <t>Prazo de pagamento; 20/80</t>
  </si>
  <si>
    <t>Programação de pedido;</t>
  </si>
  <si>
    <t>Entrega 1(1cntr); Imediato todos os itens acima.</t>
  </si>
  <si>
    <t>Entrega 2(1cntr); Carregar 60dias após a saida da data do BL do carregamento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</si>
</sst>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USD]\ #,##0.0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wrapText="1"/>
    </xf>
    <xf numFmtId="164" fontId="0" fillId="0" borderId="0" xfId="0" applyNumberFormat="1"/>
    <xf numFmtId="164" fontId="0" fillId="3" borderId="0" xfId="0" applyNumberFormat="1" applyFill="1"/>
    <xf numFmtId="2" fontId="0" fillId="0" borderId="0" xfId="0" applyNumberFormat="1"/>
    <xf numFmtId="0" fontId="0" fillId="2" borderId="0" xfId="0" applyFill="1"/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4AAD7-215C-474E-A1BA-EB9F380FBE5F}">
  <dimension ref="A1:P30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6328125" bestFit="1" customWidth="1"/>
    <col min="2" max="2" width="13.6328125" customWidth="1"/>
    <col min="4" max="4" width="20" customWidth="1"/>
    <col min="6" max="6" width="32.6328125" customWidth="1"/>
    <col min="8" max="9" width="10.6328125" customWidth="1"/>
    <col min="10" max="10" width="9.26953125" bestFit="1" customWidth="1"/>
    <col min="11" max="11" width="16.36328125" customWidth="1"/>
    <col min="12" max="12" width="8.7265625" customWidth="1"/>
    <col min="13" max="13" width="16.453125" bestFit="1" customWidth="1"/>
    <col min="14" max="14" width="14" customWidth="1"/>
  </cols>
  <sheetData>
    <row r="1" spans="1:16" ht="4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1</v>
      </c>
      <c r="B2" t="s">
        <v>16</v>
      </c>
      <c r="C2" t="s">
        <v>17</v>
      </c>
      <c r="D2" t="s">
        <v>18</v>
      </c>
      <c r="E2">
        <v>304</v>
      </c>
      <c r="F2" t="s">
        <v>19</v>
      </c>
      <c r="G2" t="s">
        <v>20</v>
      </c>
      <c r="H2">
        <v>738</v>
      </c>
      <c r="I2">
        <v>738</v>
      </c>
      <c r="J2" s="3">
        <v>0.84</v>
      </c>
      <c r="K2" s="4">
        <f>J2*(H2+I2)</f>
        <v>1239.8399999999999</v>
      </c>
      <c r="L2" s="5">
        <v>0.34154999999999996</v>
      </c>
      <c r="M2" s="5">
        <f>L2*H2</f>
        <v>252.06389999999996</v>
      </c>
      <c r="N2" s="5">
        <f>L2*I2</f>
        <v>252.06389999999996</v>
      </c>
      <c r="O2">
        <v>73064000</v>
      </c>
    </row>
    <row r="3" spans="1:16" x14ac:dyDescent="0.35">
      <c r="A3">
        <v>2</v>
      </c>
      <c r="B3" s="6" t="s">
        <v>21</v>
      </c>
      <c r="C3" t="s">
        <v>17</v>
      </c>
      <c r="D3" t="s">
        <v>18</v>
      </c>
      <c r="E3">
        <v>304</v>
      </c>
      <c r="F3" t="s">
        <v>22</v>
      </c>
      <c r="G3" t="s">
        <v>20</v>
      </c>
      <c r="H3">
        <v>570</v>
      </c>
      <c r="J3" s="3">
        <v>1.08</v>
      </c>
      <c r="K3" s="4">
        <f>J3*(H3+I3)</f>
        <v>615.6</v>
      </c>
      <c r="L3" s="5">
        <v>0.4358475</v>
      </c>
      <c r="M3" s="5">
        <f>L3*H3</f>
        <v>248.433075</v>
      </c>
      <c r="N3" s="5">
        <f>L3*I3</f>
        <v>0</v>
      </c>
      <c r="O3">
        <v>73064000</v>
      </c>
    </row>
    <row r="4" spans="1:16" x14ac:dyDescent="0.35">
      <c r="A4">
        <v>3</v>
      </c>
      <c r="B4" t="s">
        <v>23</v>
      </c>
      <c r="C4" t="s">
        <v>17</v>
      </c>
      <c r="D4" t="s">
        <v>18</v>
      </c>
      <c r="E4">
        <v>304</v>
      </c>
      <c r="F4" t="s">
        <v>24</v>
      </c>
      <c r="G4" t="s">
        <v>20</v>
      </c>
      <c r="H4">
        <v>474</v>
      </c>
      <c r="I4">
        <v>474</v>
      </c>
      <c r="J4" s="3">
        <v>1.31</v>
      </c>
      <c r="K4" s="4">
        <f>J4*(H4+I4)</f>
        <v>1241.8800000000001</v>
      </c>
      <c r="L4" s="5">
        <v>0.53014500000000009</v>
      </c>
      <c r="M4" s="5">
        <f>L4*H4</f>
        <v>251.28873000000004</v>
      </c>
      <c r="N4" s="5">
        <f>L4*I4</f>
        <v>251.28873000000004</v>
      </c>
      <c r="O4">
        <v>73064000</v>
      </c>
    </row>
    <row r="5" spans="1:16" x14ac:dyDescent="0.35">
      <c r="A5">
        <v>4</v>
      </c>
      <c r="B5" s="6" t="s">
        <v>25</v>
      </c>
      <c r="C5" t="s">
        <v>17</v>
      </c>
      <c r="D5" t="s">
        <v>18</v>
      </c>
      <c r="E5">
        <v>304</v>
      </c>
      <c r="F5" t="s">
        <v>26</v>
      </c>
      <c r="G5" t="s">
        <v>20</v>
      </c>
      <c r="H5">
        <v>402</v>
      </c>
      <c r="J5" s="3">
        <v>1.54</v>
      </c>
      <c r="K5" s="4">
        <f>J5*(H5+I5)</f>
        <v>619.08000000000004</v>
      </c>
      <c r="L5" s="5">
        <v>0.62444250000000001</v>
      </c>
      <c r="M5" s="5">
        <f>L5*H5</f>
        <v>251.02588500000002</v>
      </c>
      <c r="N5" s="5">
        <f>L5*I5</f>
        <v>0</v>
      </c>
      <c r="O5">
        <v>73064000</v>
      </c>
    </row>
    <row r="6" spans="1:16" x14ac:dyDescent="0.35">
      <c r="A6">
        <v>5</v>
      </c>
      <c r="B6" s="7" t="s">
        <v>27</v>
      </c>
      <c r="C6" t="s">
        <v>17</v>
      </c>
      <c r="D6" t="s">
        <v>18</v>
      </c>
      <c r="E6">
        <v>304</v>
      </c>
      <c r="F6" t="s">
        <v>28</v>
      </c>
      <c r="G6" t="s">
        <v>20</v>
      </c>
      <c r="H6">
        <v>690</v>
      </c>
      <c r="I6">
        <v>1080</v>
      </c>
      <c r="J6" s="3">
        <v>1.78</v>
      </c>
      <c r="K6" s="4">
        <f>J6*(H6+I6)</f>
        <v>3150.6</v>
      </c>
      <c r="L6" s="5">
        <v>0.71874000000000005</v>
      </c>
      <c r="M6" s="5">
        <f>L6*H6</f>
        <v>495.93060000000003</v>
      </c>
      <c r="N6" s="5">
        <f>L6*I6</f>
        <v>776.2392000000001</v>
      </c>
      <c r="O6">
        <v>73064000</v>
      </c>
    </row>
    <row r="7" spans="1:16" x14ac:dyDescent="0.35">
      <c r="A7">
        <v>6</v>
      </c>
      <c r="B7" t="s">
        <v>29</v>
      </c>
      <c r="C7" t="s">
        <v>17</v>
      </c>
      <c r="D7" t="s">
        <v>18</v>
      </c>
      <c r="E7">
        <v>304</v>
      </c>
      <c r="F7" t="s">
        <v>30</v>
      </c>
      <c r="G7" t="s">
        <v>20</v>
      </c>
      <c r="H7">
        <v>276</v>
      </c>
      <c r="I7">
        <v>276</v>
      </c>
      <c r="J7" s="3">
        <v>2.2400000000000002</v>
      </c>
      <c r="K7" s="4">
        <f>J7*(H7+I7)</f>
        <v>1236.48</v>
      </c>
      <c r="L7" s="5">
        <v>0.907335</v>
      </c>
      <c r="M7" s="5">
        <f>L7*H7</f>
        <v>250.42446000000001</v>
      </c>
      <c r="N7" s="5">
        <f>L7*I7</f>
        <v>250.42446000000001</v>
      </c>
      <c r="O7">
        <v>73064000</v>
      </c>
    </row>
    <row r="8" spans="1:16" x14ac:dyDescent="0.35">
      <c r="A8">
        <v>7</v>
      </c>
      <c r="B8" s="7" t="s">
        <v>31</v>
      </c>
      <c r="C8" t="s">
        <v>17</v>
      </c>
      <c r="D8" t="s">
        <v>18</v>
      </c>
      <c r="E8">
        <v>304</v>
      </c>
      <c r="F8" t="s">
        <v>32</v>
      </c>
      <c r="G8" t="s">
        <v>20</v>
      </c>
      <c r="H8">
        <v>1200</v>
      </c>
      <c r="I8">
        <v>1500</v>
      </c>
      <c r="J8" s="3">
        <v>2.71</v>
      </c>
      <c r="K8" s="4">
        <f>J8*(H8+I8)</f>
        <v>7317</v>
      </c>
      <c r="L8" s="5">
        <v>1.0959299999999998</v>
      </c>
      <c r="M8" s="5">
        <f>L8*H8</f>
        <v>1315.1159999999998</v>
      </c>
      <c r="N8" s="5">
        <f>L8*I8</f>
        <v>1643.8949999999998</v>
      </c>
      <c r="O8">
        <v>73064000</v>
      </c>
    </row>
    <row r="9" spans="1:16" x14ac:dyDescent="0.35">
      <c r="A9">
        <v>8</v>
      </c>
      <c r="B9" s="7" t="s">
        <v>33</v>
      </c>
      <c r="C9" t="s">
        <v>17</v>
      </c>
      <c r="D9" t="s">
        <v>18</v>
      </c>
      <c r="E9">
        <v>304</v>
      </c>
      <c r="F9" t="s">
        <v>34</v>
      </c>
      <c r="G9" t="s">
        <v>20</v>
      </c>
      <c r="H9">
        <v>1200</v>
      </c>
      <c r="I9">
        <v>1500</v>
      </c>
      <c r="J9" s="3">
        <v>3.64</v>
      </c>
      <c r="K9" s="4">
        <f>J9*(H9+I9)</f>
        <v>9828</v>
      </c>
      <c r="L9" s="5">
        <v>1.4731199999999998</v>
      </c>
      <c r="M9" s="5">
        <f>L9*H9</f>
        <v>1767.7439999999997</v>
      </c>
      <c r="N9" s="5">
        <f>L9*I9</f>
        <v>2209.6799999999998</v>
      </c>
      <c r="O9">
        <v>73064000</v>
      </c>
    </row>
    <row r="10" spans="1:16" x14ac:dyDescent="0.35">
      <c r="A10">
        <v>9</v>
      </c>
      <c r="B10" t="s">
        <v>35</v>
      </c>
      <c r="C10" t="s">
        <v>17</v>
      </c>
      <c r="D10" t="s">
        <v>36</v>
      </c>
      <c r="E10">
        <v>304</v>
      </c>
      <c r="F10" t="s">
        <v>37</v>
      </c>
      <c r="G10" t="s">
        <v>20</v>
      </c>
      <c r="H10">
        <v>1200</v>
      </c>
      <c r="I10">
        <v>1200</v>
      </c>
      <c r="J10" s="3">
        <v>1.03</v>
      </c>
      <c r="K10" s="4">
        <f>J10*(H10+I10)</f>
        <v>2472</v>
      </c>
      <c r="L10" s="5">
        <v>0.41579999999999995</v>
      </c>
      <c r="M10" s="5">
        <f>L10*H10</f>
        <v>498.95999999999992</v>
      </c>
      <c r="N10" s="5">
        <f>L10*I10</f>
        <v>498.95999999999992</v>
      </c>
      <c r="O10">
        <v>73064000</v>
      </c>
    </row>
    <row r="11" spans="1:16" x14ac:dyDescent="0.35">
      <c r="A11">
        <v>10</v>
      </c>
      <c r="B11" s="6" t="s">
        <v>38</v>
      </c>
      <c r="C11" t="s">
        <v>17</v>
      </c>
      <c r="D11" t="s">
        <v>36</v>
      </c>
      <c r="E11">
        <v>304</v>
      </c>
      <c r="F11" t="s">
        <v>39</v>
      </c>
      <c r="G11" t="s">
        <v>20</v>
      </c>
      <c r="H11">
        <v>468</v>
      </c>
      <c r="J11" s="3">
        <v>1.32</v>
      </c>
      <c r="K11" s="4">
        <f>J11*(H11+I11)</f>
        <v>617.76</v>
      </c>
      <c r="L11" s="5">
        <v>0.53367187500000002</v>
      </c>
      <c r="M11" s="5">
        <f>L11*H11</f>
        <v>249.75843750000001</v>
      </c>
      <c r="N11" s="5">
        <f>L11*I11</f>
        <v>0</v>
      </c>
      <c r="O11">
        <v>73064000</v>
      </c>
    </row>
    <row r="12" spans="1:16" x14ac:dyDescent="0.35">
      <c r="A12">
        <v>11</v>
      </c>
      <c r="B12" t="s">
        <v>40</v>
      </c>
      <c r="C12" t="s">
        <v>17</v>
      </c>
      <c r="D12" t="s">
        <v>36</v>
      </c>
      <c r="E12">
        <v>304</v>
      </c>
      <c r="F12" t="s">
        <v>41</v>
      </c>
      <c r="G12" t="s">
        <v>20</v>
      </c>
      <c r="H12">
        <v>1800</v>
      </c>
      <c r="I12">
        <v>1800</v>
      </c>
      <c r="J12" s="3">
        <v>1.61</v>
      </c>
      <c r="K12" s="4">
        <f>J12*(H12+I12)</f>
        <v>5796</v>
      </c>
      <c r="L12" s="5">
        <v>0.65154375000000009</v>
      </c>
      <c r="M12" s="5">
        <f>L12*H12</f>
        <v>1172.7787500000002</v>
      </c>
      <c r="N12" s="5">
        <f>L12*I12</f>
        <v>1172.7787500000002</v>
      </c>
      <c r="O12">
        <v>73064000</v>
      </c>
    </row>
    <row r="13" spans="1:16" x14ac:dyDescent="0.35">
      <c r="A13">
        <v>12</v>
      </c>
      <c r="B13" s="6" t="s">
        <v>42</v>
      </c>
      <c r="C13" t="s">
        <v>17</v>
      </c>
      <c r="D13" t="s">
        <v>36</v>
      </c>
      <c r="E13">
        <v>304</v>
      </c>
      <c r="F13" t="s">
        <v>43</v>
      </c>
      <c r="G13" t="s">
        <v>20</v>
      </c>
      <c r="H13">
        <v>324</v>
      </c>
      <c r="J13" s="3">
        <v>1.89</v>
      </c>
      <c r="K13" s="4">
        <f>J13*(H13+I13)</f>
        <v>612.36</v>
      </c>
      <c r="L13" s="5">
        <v>0.76941562500000005</v>
      </c>
      <c r="M13" s="5">
        <f>L13*H13</f>
        <v>249.29066250000002</v>
      </c>
      <c r="N13" s="5">
        <f>L13*I13</f>
        <v>0</v>
      </c>
      <c r="O13">
        <v>73064000</v>
      </c>
    </row>
    <row r="14" spans="1:16" x14ac:dyDescent="0.35">
      <c r="A14">
        <v>13</v>
      </c>
      <c r="B14" s="7" t="s">
        <v>44</v>
      </c>
      <c r="C14" t="s">
        <v>17</v>
      </c>
      <c r="D14" t="s">
        <v>36</v>
      </c>
      <c r="E14">
        <v>304</v>
      </c>
      <c r="F14" t="s">
        <v>45</v>
      </c>
      <c r="G14" t="s">
        <v>20</v>
      </c>
      <c r="H14">
        <v>1200</v>
      </c>
      <c r="I14">
        <v>1500</v>
      </c>
      <c r="J14" s="3">
        <v>2.19</v>
      </c>
      <c r="K14" s="4">
        <f>J14*(H14+I14)</f>
        <v>5913</v>
      </c>
      <c r="L14" s="5">
        <v>0.8872874999999999</v>
      </c>
      <c r="M14" s="5">
        <f>L14*H14</f>
        <v>1064.7449999999999</v>
      </c>
      <c r="N14" s="5">
        <f>L14*I14</f>
        <v>1330.9312499999999</v>
      </c>
      <c r="O14">
        <v>73064000</v>
      </c>
    </row>
    <row r="15" spans="1:16" x14ac:dyDescent="0.35">
      <c r="A15">
        <v>14</v>
      </c>
      <c r="B15" t="s">
        <v>46</v>
      </c>
      <c r="C15" t="s">
        <v>17</v>
      </c>
      <c r="D15" t="s">
        <v>36</v>
      </c>
      <c r="E15">
        <v>304</v>
      </c>
      <c r="F15" t="s">
        <v>47</v>
      </c>
      <c r="G15" t="s">
        <v>20</v>
      </c>
      <c r="H15">
        <v>450</v>
      </c>
      <c r="I15">
        <v>450</v>
      </c>
      <c r="J15" s="3">
        <v>2.77</v>
      </c>
      <c r="K15" s="4">
        <f>J15*(H15+I15)</f>
        <v>2493</v>
      </c>
      <c r="L15" s="5">
        <v>1.1230312500000001</v>
      </c>
      <c r="M15" s="5">
        <f>L15*H15</f>
        <v>505.36406250000005</v>
      </c>
      <c r="N15" s="5">
        <f>L15*I15</f>
        <v>505.36406250000005</v>
      </c>
      <c r="O15">
        <v>73064000</v>
      </c>
    </row>
    <row r="16" spans="1:16" x14ac:dyDescent="0.35">
      <c r="A16">
        <v>15</v>
      </c>
      <c r="B16" s="7" t="s">
        <v>48</v>
      </c>
      <c r="C16" t="s">
        <v>17</v>
      </c>
      <c r="D16" t="s">
        <v>36</v>
      </c>
      <c r="E16">
        <v>304</v>
      </c>
      <c r="F16" t="s">
        <v>49</v>
      </c>
      <c r="G16" t="s">
        <v>20</v>
      </c>
      <c r="H16" s="8">
        <v>2400</v>
      </c>
      <c r="I16" s="8">
        <v>2700</v>
      </c>
      <c r="J16" s="3">
        <v>3.36</v>
      </c>
      <c r="K16" s="4">
        <f>J16*(H16+I16)</f>
        <v>17136</v>
      </c>
      <c r="L16" s="5">
        <v>1.3587750000000003</v>
      </c>
      <c r="M16" s="5">
        <f>L16*H16</f>
        <v>3261.0600000000009</v>
      </c>
      <c r="N16" s="5">
        <f>L16*I16</f>
        <v>3668.6925000000006</v>
      </c>
      <c r="O16">
        <v>73064000</v>
      </c>
    </row>
    <row r="17" spans="1:15" x14ac:dyDescent="0.35">
      <c r="A17">
        <v>16</v>
      </c>
      <c r="B17" s="7" t="s">
        <v>50</v>
      </c>
      <c r="C17" t="s">
        <v>17</v>
      </c>
      <c r="D17" t="s">
        <v>36</v>
      </c>
      <c r="E17">
        <v>304</v>
      </c>
      <c r="F17" t="s">
        <v>51</v>
      </c>
      <c r="G17" t="s">
        <v>20</v>
      </c>
      <c r="H17" s="8">
        <v>3300</v>
      </c>
      <c r="I17" s="8">
        <v>3780</v>
      </c>
      <c r="J17" s="3">
        <v>4.5199999999999996</v>
      </c>
      <c r="K17" s="4">
        <f>J17*(H17+I17)</f>
        <v>32001.599999999999</v>
      </c>
      <c r="L17" s="5">
        <v>1.8302624999999999</v>
      </c>
      <c r="M17" s="5">
        <f>L17*H17</f>
        <v>6039.86625</v>
      </c>
      <c r="N17" s="5">
        <f>L17*I17</f>
        <v>6918.3922499999999</v>
      </c>
      <c r="O17">
        <v>73064000</v>
      </c>
    </row>
    <row r="18" spans="1:15" x14ac:dyDescent="0.35">
      <c r="A18">
        <v>17</v>
      </c>
      <c r="B18" t="s">
        <v>52</v>
      </c>
      <c r="C18" t="s">
        <v>17</v>
      </c>
      <c r="D18" t="s">
        <v>36</v>
      </c>
      <c r="E18">
        <v>304</v>
      </c>
      <c r="F18" t="s">
        <v>53</v>
      </c>
      <c r="G18" t="s">
        <v>20</v>
      </c>
      <c r="H18">
        <v>216</v>
      </c>
      <c r="I18">
        <v>216</v>
      </c>
      <c r="J18" s="3">
        <v>5.69</v>
      </c>
      <c r="K18" s="4">
        <f>J18*(H18+I18)</f>
        <v>2458.0800000000004</v>
      </c>
      <c r="L18" s="5">
        <v>2.3017500000000002</v>
      </c>
      <c r="M18" s="5">
        <f>L18*H18</f>
        <v>497.17800000000005</v>
      </c>
      <c r="N18" s="5">
        <f>L18*I18</f>
        <v>497.17800000000005</v>
      </c>
      <c r="O18">
        <v>73064000</v>
      </c>
    </row>
    <row r="19" spans="1:15" x14ac:dyDescent="0.35">
      <c r="A19">
        <v>18</v>
      </c>
      <c r="B19" s="7" t="s">
        <v>54</v>
      </c>
      <c r="C19" t="s">
        <v>17</v>
      </c>
      <c r="D19" t="s">
        <v>36</v>
      </c>
      <c r="E19">
        <v>304</v>
      </c>
      <c r="F19" t="s">
        <v>55</v>
      </c>
      <c r="G19" t="s">
        <v>20</v>
      </c>
      <c r="H19" s="8">
        <v>1040</v>
      </c>
      <c r="I19" s="8">
        <v>1200</v>
      </c>
      <c r="J19" s="3">
        <v>6.85</v>
      </c>
      <c r="K19" s="4">
        <f>J19*(H19+I19)</f>
        <v>15344</v>
      </c>
      <c r="L19" s="5">
        <v>2.7732375000000005</v>
      </c>
      <c r="M19" s="5">
        <f>L19*H19</f>
        <v>2884.1670000000004</v>
      </c>
      <c r="N19" s="5">
        <f>L19*I19</f>
        <v>3327.8850000000007</v>
      </c>
      <c r="O19">
        <v>73064000</v>
      </c>
    </row>
    <row r="20" spans="1:15" x14ac:dyDescent="0.35">
      <c r="A20">
        <v>19</v>
      </c>
      <c r="B20" s="7" t="s">
        <v>56</v>
      </c>
      <c r="C20" t="s">
        <v>17</v>
      </c>
      <c r="D20" t="s">
        <v>36</v>
      </c>
      <c r="E20">
        <v>304</v>
      </c>
      <c r="F20" t="s">
        <v>57</v>
      </c>
      <c r="G20" t="s">
        <v>20</v>
      </c>
      <c r="H20">
        <v>600</v>
      </c>
      <c r="I20" s="8">
        <v>900</v>
      </c>
      <c r="J20" s="3">
        <v>9.18</v>
      </c>
      <c r="K20" s="4">
        <f>J20*(H20+I20)</f>
        <v>13770</v>
      </c>
      <c r="L20" s="5">
        <v>3.7162124999999997</v>
      </c>
      <c r="M20" s="5">
        <f>L20*H20</f>
        <v>2229.7275</v>
      </c>
      <c r="N20" s="5">
        <f>L20*I20</f>
        <v>3344.5912499999999</v>
      </c>
      <c r="O20">
        <v>73064000</v>
      </c>
    </row>
    <row r="21" spans="1:15" x14ac:dyDescent="0.35">
      <c r="A21">
        <v>20</v>
      </c>
      <c r="B21" s="6" t="s">
        <v>58</v>
      </c>
      <c r="C21" t="s">
        <v>17</v>
      </c>
      <c r="D21" t="s">
        <v>59</v>
      </c>
      <c r="E21">
        <v>304</v>
      </c>
      <c r="F21" t="s">
        <v>60</v>
      </c>
      <c r="G21" t="s">
        <v>20</v>
      </c>
      <c r="H21">
        <v>120</v>
      </c>
      <c r="J21" s="3">
        <v>15.46</v>
      </c>
      <c r="K21" s="4">
        <f>J21*(H21+I21)</f>
        <v>1855.2</v>
      </c>
      <c r="L21" s="5">
        <v>6.1870000000000003</v>
      </c>
      <c r="M21" s="5">
        <f>L21*H21</f>
        <v>742.44</v>
      </c>
      <c r="N21" s="5">
        <f>L21*I21</f>
        <v>0</v>
      </c>
      <c r="O21">
        <v>73064000</v>
      </c>
    </row>
    <row r="22" spans="1:15" x14ac:dyDescent="0.35">
      <c r="A22">
        <v>21</v>
      </c>
      <c r="B22" s="6" t="s">
        <v>61</v>
      </c>
      <c r="C22" t="s">
        <v>17</v>
      </c>
      <c r="D22" t="s">
        <v>59</v>
      </c>
      <c r="E22">
        <v>304</v>
      </c>
      <c r="F22" t="s">
        <v>62</v>
      </c>
      <c r="G22" t="s">
        <v>20</v>
      </c>
      <c r="H22">
        <v>120</v>
      </c>
      <c r="J22" s="3">
        <v>18.600000000000001</v>
      </c>
      <c r="K22" s="4">
        <f>J22*(H22+I22)</f>
        <v>2232</v>
      </c>
      <c r="L22" s="5">
        <v>7.444</v>
      </c>
      <c r="M22" s="5">
        <f>L22*H22</f>
        <v>893.28</v>
      </c>
      <c r="N22" s="5">
        <f>L22*I22</f>
        <v>0</v>
      </c>
      <c r="O22">
        <v>73064000</v>
      </c>
    </row>
    <row r="23" spans="1:15" x14ac:dyDescent="0.35">
      <c r="A23">
        <v>22</v>
      </c>
      <c r="B23" s="6" t="s">
        <v>63</v>
      </c>
      <c r="C23" t="s">
        <v>17</v>
      </c>
      <c r="D23" t="s">
        <v>59</v>
      </c>
      <c r="E23">
        <v>304</v>
      </c>
      <c r="F23" t="s">
        <v>64</v>
      </c>
      <c r="G23" t="s">
        <v>20</v>
      </c>
      <c r="H23">
        <v>120</v>
      </c>
      <c r="J23" s="3">
        <v>24.9</v>
      </c>
      <c r="K23" s="4">
        <f>J23*(H23+I23)</f>
        <v>2988</v>
      </c>
      <c r="L23" s="5">
        <v>9.9594000000000005</v>
      </c>
      <c r="M23" s="5">
        <f>L23*H23</f>
        <v>1195.1280000000002</v>
      </c>
      <c r="N23" s="5">
        <f>L23*I23</f>
        <v>0</v>
      </c>
      <c r="O23">
        <v>73064000</v>
      </c>
    </row>
    <row r="24" spans="1:15" x14ac:dyDescent="0.35">
      <c r="J24" s="3"/>
      <c r="K24" s="3">
        <f>SUM(K2:K23)</f>
        <v>130937.48</v>
      </c>
      <c r="L24" s="5"/>
      <c r="M24" s="5">
        <f>SUM(M2:M23)</f>
        <v>26315.770312500001</v>
      </c>
      <c r="N24" s="5">
        <f>SUM(N2:N23)</f>
        <v>26648.364352500004</v>
      </c>
    </row>
    <row r="26" spans="1:15" x14ac:dyDescent="0.35">
      <c r="B26" t="s">
        <v>65</v>
      </c>
    </row>
    <row r="27" spans="1:15" x14ac:dyDescent="0.35">
      <c r="B27" t="s">
        <v>66</v>
      </c>
    </row>
    <row r="28" spans="1:15" x14ac:dyDescent="0.35">
      <c r="B28" t="s">
        <v>67</v>
      </c>
    </row>
    <row r="29" spans="1:15" x14ac:dyDescent="0.35">
      <c r="B29" t="s">
        <v>68</v>
      </c>
    </row>
    <row r="30" spans="1:15" x14ac:dyDescent="0.35">
      <c r="B30" t="s">
        <v>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Q2026-03 pedido OVERHEAD India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Plasnox</dc:creator>
  <cp:lastModifiedBy>Marcos Plasnox</cp:lastModifiedBy>
  <dcterms:created xsi:type="dcterms:W3CDTF">2026-06-03T00:34:20Z</dcterms:created>
  <dcterms:modified xsi:type="dcterms:W3CDTF">2026-06-03T00:43:24Z</dcterms:modified>
</cp:coreProperties>
</file>
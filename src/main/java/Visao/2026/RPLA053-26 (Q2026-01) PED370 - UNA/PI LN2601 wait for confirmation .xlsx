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roforma Invoice" sheetId="1" r:id="rId1"/>
    <sheet name="Folha1" sheetId="2" r:id="rId2"/>
  </sheets>
  <definedNames>
    <definedName name="_xlnm._FilterDatabase" localSheetId="0" hidden="1">'Proforma Invoice'!$A$16:$N$16</definedName>
    <definedName name="_xlnm.Print_Area" localSheetId="0">'Proforma Invoice'!$A$1:$O$28</definedName>
    <definedName name="_xlnm.Print_Titles" localSheetId="0">'Proforma Invoice'!$1:$7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<sst xmlns="http://schemas.openxmlformats.org/spreadsheetml/2006/main" count="99" uniqueCount="69">
  <si>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</si>
  <si>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</si>
  <si>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</si>
  <si>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Date:Jan-04-2026</t>
  </si>
  <si>
    <t>BUYER:  PLASNOX IND E COM IMPORTACOES LTDA
RUA JOSÉ KOSER, 185 – BELCHIOR ALTO – GASPAR/SC - BRAZIL
CEP: 89118-040 - CNPJ: 79.925.442/0002-80 - INSCRIÇÃO ESTADUAL: 260.452.998
FONE: +5547-33316700</t>
  </si>
  <si>
    <t>Ref.No:LN2601</t>
  </si>
  <si>
    <t>PLASNOX REF.:</t>
  </si>
  <si>
    <t>We are Pleasure to offer you the undermentioned goods on the Terms and Conditions described as follows :</t>
  </si>
  <si>
    <t>Delivery Time</t>
  </si>
  <si>
    <t>__65__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</si>
  <si>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</si>
  <si>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</si>
  <si>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</si>
  <si>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</si>
  <si>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</si>
  <si>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</si>
  <si>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</si>
  <si>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</si>
  <si>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</si>
  <si>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</si>
  <si>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30% in advance , 30% on the shipment and 40% 10 days before arrive your port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</si>
  <si>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</si>
  <si>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</si>
  <si>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</si>
  <si>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</si>
  <si>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</si>
  <si>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</si>
  <si>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</si>
  <si>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</si>
  <si>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</si>
  <si>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</si>
  <si>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</si>
  <si>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</si>
  <si>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</si>
  <si>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</si>
  <si>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</si>
  <si>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</si>
  <si>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</si>
  <si>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</si>
  <si>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</si>
  <si>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MMR3112.5104</t>
  </si>
  <si>
    <t>VET PP TR 180C 10BAR CORPO WCB ESFERA E PARAFUSOS 304 DN015-1/2P BSP</t>
  </si>
  <si>
    <t>3PC TRIPARTITE BALL VALVE - 1000WOG - FULL PASSAGE - LENGTH STANDARD IS M3 STANDARD LONG</t>
  </si>
  <si>
    <t>ASTM A216 GRAU WCB</t>
  </si>
  <si>
    <t>1000WOG</t>
  </si>
  <si>
    <t>DN015 - 1/2P</t>
  </si>
  <si>
    <t>BSP</t>
  </si>
  <si>
    <t>L4302516</t>
  </si>
  <si>
    <t>MMR3112.5105</t>
  </si>
  <si>
    <t>VET PP TR 180C 10BAR CORPO WCB ESFERA E PARAFUSOS 304 DN020-3/4P BSP</t>
  </si>
  <si>
    <t>DN020 - 3/4P</t>
  </si>
  <si>
    <t>MMR3112.5106</t>
  </si>
  <si>
    <t>VET PP TR 180C 10BAR CORPO WCB ESFERA E PARAFUSOS 304 DN025-1P BSP</t>
  </si>
  <si>
    <t>DN025 - 1P</t>
  </si>
  <si>
    <t>MMR3112.5108</t>
  </si>
  <si>
    <t>VET PP TR 180C 10BAR CORPO WCB ESFERA E PARAFUSOS 304 DN040-1.1/2P BSP</t>
  </si>
  <si>
    <t>DN040 - 1.1/2P</t>
  </si>
  <si>
    <t>MMR3112.5109</t>
  </si>
  <si>
    <t>VET PP TR 180C 10BAR CORPO WCB ESFERA E PARAFUSOS 304 DN050-2 P BSP</t>
  </si>
  <si>
    <t>DN050 - 2P</t>
  </si>
  <si>
    <t>MMR3112.5110</t>
  </si>
  <si>
    <t>DN065 - 2.1/2P</t>
  </si>
  <si>
    <t>MMR3112.5111</t>
  </si>
  <si>
    <t>DN080 - 3P</t>
  </si>
  <si>
    <t xml:space="preserve">IN TOTAL 4900 PC - total net weight: 5293.62 kgs. - 6Plywood cases and 6 CBM </t>
  </si>
  <si>
    <t>Manufactor: same as exporter</t>
  </si>
  <si>
    <t>Country of origin, acquisiton and procedence: China</t>
  </si>
  <si>
    <t>Country of shipment: China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</si>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</sst>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  <numFmt numFmtId="178" formatCode="_-* #,##0_-;\-* #,##0_-;_-* &quot;-&quot;_-;_-@_-"/>
    <numFmt numFmtId="179" formatCode="0.000"/>
    <numFmt numFmtId="180" formatCode="[$$-409]#,##0.00"/>
    <numFmt numFmtId="181" formatCode="0.00_);[Red]\(0.00\)"/>
  </numFmts>
  <fonts count="41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" borderId="2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25" applyNumberFormat="0" applyAlignment="0" applyProtection="0">
      <alignment vertical="center"/>
    </xf>
    <xf numFmtId="0" fontId="29" fillId="5" borderId="26" applyNumberFormat="0" applyAlignment="0" applyProtection="0">
      <alignment vertical="center"/>
    </xf>
    <xf numFmtId="0" fontId="30" fillId="5" borderId="25" applyNumberFormat="0" applyAlignment="0" applyProtection="0">
      <alignment vertical="center"/>
    </xf>
    <xf numFmtId="0" fontId="31" fillId="6" borderId="27" applyNumberFormat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9" fillId="0" borderId="0"/>
    <xf numFmtId="0" fontId="40" fillId="0" borderId="0"/>
  </cellStyleXfs>
  <cellXfs count="10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1" xfId="52" applyFont="1" applyBorder="1" applyAlignment="1">
      <alignment horizontal="center" vertical="center" wrapText="1"/>
    </xf>
    <xf numFmtId="0" fontId="4" fillId="0" borderId="2" xfId="52" applyFont="1" applyBorder="1" applyAlignment="1">
      <alignment horizontal="center" vertical="center" wrapText="1"/>
    </xf>
    <xf numFmtId="0" fontId="4" fillId="0" borderId="3" xfId="52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76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vertical="center" wrapText="1"/>
    </xf>
    <xf numFmtId="176" fontId="8" fillId="0" borderId="0" xfId="0" applyNumberFormat="1" applyFont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178" fontId="6" fillId="0" borderId="8" xfId="0" applyNumberFormat="1" applyFont="1" applyBorder="1" applyAlignment="1">
      <alignment vertical="center"/>
    </xf>
    <xf numFmtId="178" fontId="6" fillId="0" borderId="9" xfId="0" applyNumberFormat="1" applyFont="1" applyBorder="1" applyAlignment="1">
      <alignment vertical="center"/>
    </xf>
    <xf numFmtId="178" fontId="1" fillId="0" borderId="9" xfId="0" applyNumberFormat="1" applyFont="1" applyBorder="1" applyAlignment="1">
      <alignment horizontal="left" vertical="center"/>
    </xf>
    <xf numFmtId="178" fontId="1" fillId="0" borderId="10" xfId="0" applyNumberFormat="1" applyFont="1" applyBorder="1" applyAlignment="1">
      <alignment vertical="center"/>
    </xf>
    <xf numFmtId="178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76" fontId="10" fillId="0" borderId="9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left" vertical="center"/>
    </xf>
    <xf numFmtId="177" fontId="1" fillId="0" borderId="10" xfId="0" applyNumberFormat="1" applyFont="1" applyBorder="1" applyAlignment="1">
      <alignment vertical="center"/>
    </xf>
    <xf numFmtId="178" fontId="1" fillId="0" borderId="11" xfId="0" applyNumberFormat="1" applyFont="1" applyBorder="1" applyAlignment="1">
      <alignment vertical="center"/>
    </xf>
    <xf numFmtId="178" fontId="1" fillId="0" borderId="5" xfId="0" applyNumberFormat="1" applyFont="1" applyBorder="1" applyAlignment="1">
      <alignment vertical="center"/>
    </xf>
    <xf numFmtId="176" fontId="1" fillId="0" borderId="9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178" fontId="10" fillId="0" borderId="11" xfId="0" applyNumberFormat="1" applyFont="1" applyBorder="1" applyAlignment="1">
      <alignment horizontal="center" vertical="center"/>
    </xf>
    <xf numFmtId="178" fontId="10" fillId="0" borderId="5" xfId="0" applyNumberFormat="1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left" vertical="center" wrapText="1"/>
    </xf>
    <xf numFmtId="178" fontId="8" fillId="0" borderId="10" xfId="0" applyNumberFormat="1" applyFont="1" applyBorder="1" applyAlignment="1">
      <alignment horizontal="left" vertical="center" wrapText="1"/>
    </xf>
    <xf numFmtId="178" fontId="8" fillId="0" borderId="11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7" fontId="6" fillId="0" borderId="10" xfId="0" applyNumberFormat="1" applyFont="1" applyBorder="1" applyAlignment="1">
      <alignment horizontal="left" vertical="center" wrapText="1"/>
    </xf>
    <xf numFmtId="176" fontId="6" fillId="0" borderId="9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76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left" vertical="center" wrapText="1"/>
    </xf>
    <xf numFmtId="176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76" fontId="11" fillId="0" borderId="17" xfId="0" applyNumberFormat="1" applyFont="1" applyBorder="1" applyAlignment="1">
      <alignment horizontal="center" vertical="center" wrapText="1"/>
    </xf>
    <xf numFmtId="177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left"/>
    </xf>
    <xf numFmtId="179" fontId="13" fillId="0" borderId="17" xfId="0" applyNumberFormat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left" vertical="top" wrapText="1"/>
    </xf>
    <xf numFmtId="0" fontId="13" fillId="0" borderId="17" xfId="50" applyFont="1" applyFill="1" applyBorder="1" applyAlignment="1">
      <alignment horizontal="left"/>
    </xf>
    <xf numFmtId="176" fontId="13" fillId="0" borderId="17" xfId="0" applyNumberFormat="1" applyFont="1" applyFill="1" applyBorder="1" applyAlignment="1">
      <alignment horizontal="left"/>
    </xf>
    <xf numFmtId="177" fontId="13" fillId="0" borderId="17" xfId="0" applyNumberFormat="1" applyFont="1" applyFill="1" applyBorder="1" applyAlignment="1">
      <alignment horizontal="left"/>
    </xf>
    <xf numFmtId="176" fontId="13" fillId="0" borderId="17" xfId="0" applyNumberFormat="1" applyFont="1" applyFill="1" applyBorder="1" applyAlignment="1">
      <alignment horizontal="center"/>
    </xf>
    <xf numFmtId="177" fontId="13" fillId="0" borderId="17" xfId="0" applyNumberFormat="1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 vertical="center"/>
    </xf>
    <xf numFmtId="179" fontId="13" fillId="0" borderId="18" xfId="0" applyNumberFormat="1" applyFont="1" applyFill="1" applyBorder="1" applyAlignment="1">
      <alignment horizontal="left" vertical="center"/>
    </xf>
    <xf numFmtId="179" fontId="13" fillId="0" borderId="19" xfId="0" applyNumberFormat="1" applyFont="1" applyFill="1" applyBorder="1" applyAlignment="1">
      <alignment horizontal="left" vertical="center"/>
    </xf>
    <xf numFmtId="0" fontId="14" fillId="0" borderId="18" xfId="51" applyFont="1" applyBorder="1" applyAlignment="1">
      <alignment horizontal="center" vertical="center" wrapText="1"/>
    </xf>
    <xf numFmtId="0" fontId="14" fillId="0" borderId="19" xfId="5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14" fillId="0" borderId="19" xfId="51" applyFont="1" applyBorder="1" applyAlignment="1">
      <alignment vertical="center" wrapText="1"/>
    </xf>
    <xf numFmtId="177" fontId="14" fillId="0" borderId="20" xfId="51" applyNumberFormat="1" applyFont="1" applyBorder="1" applyAlignment="1">
      <alignment vertical="center" wrapText="1"/>
    </xf>
    <xf numFmtId="176" fontId="15" fillId="0" borderId="17" xfId="51" applyNumberFormat="1" applyFont="1" applyBorder="1" applyAlignment="1">
      <alignment horizontal="center" vertical="center" wrapText="1"/>
    </xf>
    <xf numFmtId="0" fontId="16" fillId="0" borderId="17" xfId="5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51" applyFont="1" applyAlignment="1">
      <alignment horizontal="center" vertical="center" wrapText="1"/>
    </xf>
    <xf numFmtId="0" fontId="14" fillId="0" borderId="0" xfId="51" applyFont="1" applyAlignment="1">
      <alignment vertical="center" wrapText="1"/>
    </xf>
    <xf numFmtId="177" fontId="14" fillId="0" borderId="0" xfId="51" applyNumberFormat="1" applyFont="1" applyAlignment="1">
      <alignment vertical="center" wrapText="1"/>
    </xf>
    <xf numFmtId="176" fontId="15" fillId="0" borderId="0" xfId="51" applyNumberFormat="1" applyFont="1" applyBorder="1" applyAlignment="1">
      <alignment horizontal="center" vertical="center" wrapText="1"/>
    </xf>
    <xf numFmtId="177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left" vertical="center"/>
    </xf>
    <xf numFmtId="180" fontId="18" fillId="0" borderId="0" xfId="0" applyNumberFormat="1" applyFont="1" applyBorder="1" applyAlignment="1">
      <alignment horizontal="center" vertical="center"/>
    </xf>
    <xf numFmtId="181" fontId="3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176" fontId="2" fillId="0" borderId="15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vertical="center"/>
    </xf>
    <xf numFmtId="177" fontId="3" fillId="0" borderId="15" xfId="0" applyNumberFormat="1" applyFont="1" applyBorder="1" applyAlignment="1">
      <alignment horizontal="center" vertical="center"/>
    </xf>
    <xf numFmtId="181" fontId="3" fillId="0" borderId="21" xfId="0" applyNumberFormat="1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  <cellStyle name="Normal 2" xfId="50"/>
    <cellStyle name="Normal_Tot_Item" xfId="51"/>
    <cellStyle name="常规_Sheet1_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E7766A97-17AD-4522-9AB8-8A5A6D7BDF2D}"/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8"/>
  <sheetViews>
    <sheetView showGridLines="0" showZeros="0" tabSelected="1" zoomScale="115" zoomScaleNormal="115" topLeftCell="A5" workbookViewId="0">
      <selection activeCell="A13" sqref="A13:K13"/>
    </sheetView>
  </sheetViews>
  <sheetFormatPr defaultColWidth="9.1" defaultRowHeight="15"/>
  <cols>
    <col min="1" max="1" width="2.7" style="3" customWidth="1"/>
    <col min="2" max="2" width="10" style="3" customWidth="1"/>
    <col min="3" max="3" width="59.2" style="3" hidden="1" customWidth="1" outlineLevel="1"/>
    <col min="4" max="4" width="38.7" style="4" customWidth="1" collapsed="1"/>
    <col min="5" max="5" width="12.8" style="3" customWidth="1"/>
    <col min="6" max="6" width="7.8" style="3" customWidth="1"/>
    <col min="7" max="7" width="9.78333333333333" style="3" customWidth="1"/>
    <col min="8" max="8" width="6.40833333333333" style="3" customWidth="1"/>
    <col min="9" max="9" width="5.9" style="3" customWidth="1"/>
    <col min="10" max="10" width="8.1" style="5" customWidth="1"/>
    <col min="11" max="11" width="8.36666666666667" style="6" customWidth="1"/>
    <col min="12" max="12" width="13.5833333333333" style="5" customWidth="1"/>
    <col min="13" max="13" width="7.4" style="7" customWidth="1"/>
    <col min="14" max="14" width="7.3" style="8" customWidth="1"/>
    <col min="15" max="15" width="10.2" style="3" customWidth="1"/>
    <col min="16" max="16" width="16" style="8" hidden="1" customWidth="1" outlineLevel="1"/>
    <col min="17" max="17" width="8.9" style="3" customWidth="1" collapsed="1"/>
    <col min="18" max="101" width="8.9" style="3" customWidth="1"/>
    <col min="102" max="16355" width="9.1" style="3"/>
    <col min="16356" max="16356" width="9.1" style="9"/>
    <col min="16357" max="16384" width="9.1" style="3"/>
  </cols>
  <sheetData>
    <row r="1" ht="75.9" customHeight="1" spans="1:16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ht="23.1" customHeight="1" spans="1:16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="1" customFormat="1" ht="28.5" customHeight="1" spans="1:16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  <c r="L3" s="19"/>
      <c r="M3" s="20"/>
      <c r="N3" s="21"/>
      <c r="P3" s="22"/>
    </row>
    <row r="4" s="1" customFormat="1" ht="26.25" customHeight="1" spans="1:16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  <c r="L4" s="23" t="s">
        <v>3</v>
      </c>
      <c r="M4" s="20"/>
      <c r="N4" s="21"/>
      <c r="P4" s="22"/>
    </row>
    <row r="5" s="1" customFormat="1" ht="18" customHeight="1" spans="1:16">
      <c r="A5" s="16" t="s">
        <v>4</v>
      </c>
      <c r="B5" s="17"/>
      <c r="C5" s="17"/>
      <c r="D5" s="17"/>
      <c r="E5" s="17"/>
      <c r="F5" s="17"/>
      <c r="G5" s="21"/>
      <c r="H5" s="21"/>
      <c r="I5" s="21"/>
      <c r="J5" s="24"/>
      <c r="K5" s="20"/>
      <c r="L5" s="23" t="s">
        <v>5</v>
      </c>
      <c r="M5" s="18"/>
      <c r="N5" s="21"/>
      <c r="P5" s="22"/>
    </row>
    <row r="6" s="1" customFormat="1" customHeight="1" spans="1:16">
      <c r="A6" s="16"/>
      <c r="B6" s="17"/>
      <c r="C6" s="17"/>
      <c r="D6" s="17"/>
      <c r="E6" s="17"/>
      <c r="F6" s="17"/>
      <c r="G6" s="21"/>
      <c r="H6" s="21"/>
      <c r="I6" s="21"/>
      <c r="J6" s="24"/>
      <c r="K6" s="20"/>
      <c r="L6" s="25" t="s">
        <v>6</v>
      </c>
      <c r="M6" s="20"/>
      <c r="N6" s="21"/>
      <c r="P6" s="22"/>
    </row>
    <row r="7" s="1" customFormat="1" ht="24" customHeight="1" spans="1:16">
      <c r="A7" s="16"/>
      <c r="B7" s="17"/>
      <c r="C7" s="17"/>
      <c r="D7" s="17"/>
      <c r="E7" s="17"/>
      <c r="F7" s="17"/>
      <c r="G7" s="21"/>
      <c r="H7" s="21"/>
      <c r="I7" s="21"/>
      <c r="J7" s="24"/>
      <c r="K7" s="20"/>
      <c r="L7" s="24"/>
      <c r="M7" s="20"/>
      <c r="N7" s="21"/>
      <c r="P7" s="22"/>
    </row>
    <row r="8" s="1" customFormat="1" ht="37.5" customHeight="1" spans="1:16">
      <c r="A8" s="26" t="s">
        <v>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4"/>
      <c r="M8" s="28"/>
      <c r="N8" s="29"/>
      <c r="P8" s="30"/>
    </row>
    <row r="9" s="2" customFormat="1" ht="12.75" spans="1:16">
      <c r="A9" s="31" t="s">
        <v>8</v>
      </c>
      <c r="B9" s="32"/>
      <c r="C9" s="32"/>
      <c r="D9" s="33" t="s">
        <v>9</v>
      </c>
      <c r="E9" s="34"/>
      <c r="F9" s="34"/>
      <c r="G9" s="35"/>
      <c r="H9" s="35"/>
      <c r="I9" s="36" t="s">
        <v>10</v>
      </c>
      <c r="J9" s="37"/>
      <c r="K9" s="38"/>
      <c r="L9" s="38"/>
      <c r="M9" s="39"/>
      <c r="N9" s="40"/>
      <c r="P9" s="41"/>
    </row>
    <row r="10" s="2" customFormat="1" ht="12.75" spans="1:16">
      <c r="A10" s="31" t="s">
        <v>11</v>
      </c>
      <c r="B10" s="32"/>
      <c r="C10" s="32"/>
      <c r="D10" s="33" t="s">
        <v>12</v>
      </c>
      <c r="E10" s="34"/>
      <c r="F10" s="34"/>
      <c r="G10" s="34"/>
      <c r="H10" s="34"/>
      <c r="I10" s="36" t="s">
        <v>13</v>
      </c>
      <c r="J10" s="37"/>
      <c r="K10" s="38"/>
      <c r="L10" s="42" t="s">
        <v>14</v>
      </c>
      <c r="M10" s="39"/>
      <c r="N10" s="40"/>
      <c r="P10" s="41"/>
    </row>
    <row r="11" s="2" customFormat="1" ht="12.75" spans="1:16">
      <c r="A11" s="31" t="s">
        <v>15</v>
      </c>
      <c r="B11" s="32"/>
      <c r="C11" s="32"/>
      <c r="D11" s="33" t="s">
        <v>16</v>
      </c>
      <c r="E11" s="34"/>
      <c r="F11" s="34"/>
      <c r="G11" s="34"/>
      <c r="H11" s="34"/>
      <c r="I11" s="36" t="s">
        <v>17</v>
      </c>
      <c r="J11" s="37"/>
      <c r="K11" s="38"/>
      <c r="L11" s="42" t="s">
        <v>18</v>
      </c>
      <c r="M11" s="43"/>
      <c r="N11" s="44"/>
      <c r="P11" s="45"/>
    </row>
    <row r="12" s="2" customFormat="1" ht="13.05" customHeight="1" spans="1:16">
      <c r="A12" s="31" t="s">
        <v>19</v>
      </c>
      <c r="B12" s="32"/>
      <c r="C12" s="32"/>
      <c r="D12" s="46" t="s">
        <v>20</v>
      </c>
      <c r="E12" s="47"/>
      <c r="F12" s="47"/>
      <c r="G12" s="47"/>
      <c r="H12" s="48"/>
      <c r="I12" s="49" t="s">
        <v>21</v>
      </c>
      <c r="J12" s="50"/>
      <c r="K12" s="51"/>
      <c r="L12" s="52"/>
      <c r="M12" s="39"/>
      <c r="N12" s="40"/>
      <c r="P12" s="41"/>
    </row>
    <row r="13" s="2" customFormat="1" ht="90.9" customHeight="1" spans="1:16">
      <c r="A13" s="53" t="s">
        <v>22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M13" s="17"/>
      <c r="N13" s="17"/>
      <c r="O13" s="17"/>
      <c r="P13" s="30"/>
    </row>
    <row r="14" s="2" customFormat="1" ht="20.55" customHeight="1" spans="1:16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55"/>
      <c r="M14" s="17"/>
      <c r="N14" s="17"/>
      <c r="O14" s="17"/>
      <c r="P14" s="30"/>
    </row>
    <row r="15" s="2" customFormat="1" ht="10.5" customHeight="1" spans="1:16">
      <c r="A15" s="56"/>
      <c r="B15" s="57"/>
      <c r="C15" s="57"/>
      <c r="D15" s="57"/>
      <c r="E15" s="57"/>
      <c r="F15" s="57"/>
      <c r="G15" s="57"/>
      <c r="H15" s="57"/>
      <c r="I15" s="57"/>
      <c r="J15" s="58"/>
      <c r="K15" s="59"/>
      <c r="L15" s="60" t="s">
        <v>23</v>
      </c>
      <c r="M15" s="59"/>
      <c r="N15" s="61"/>
      <c r="P15" s="30"/>
    </row>
    <row r="16" s="2" customFormat="1" ht="22.5" spans="1:16">
      <c r="A16" s="62" t="s">
        <v>24</v>
      </c>
      <c r="B16" s="62" t="s">
        <v>25</v>
      </c>
      <c r="C16" s="62" t="s">
        <v>26</v>
      </c>
      <c r="D16" s="63" t="s">
        <v>27</v>
      </c>
      <c r="E16" s="62" t="s">
        <v>28</v>
      </c>
      <c r="F16" s="64" t="s">
        <v>29</v>
      </c>
      <c r="G16" s="62" t="s">
        <v>30</v>
      </c>
      <c r="H16" s="64" t="s">
        <v>31</v>
      </c>
      <c r="I16" s="62" t="s">
        <v>32</v>
      </c>
      <c r="J16" s="65" t="s">
        <v>33</v>
      </c>
      <c r="K16" s="66" t="s">
        <v>34</v>
      </c>
      <c r="L16" s="65" t="s">
        <v>35</v>
      </c>
      <c r="M16" s="66" t="s">
        <v>36</v>
      </c>
      <c r="N16" s="64" t="s">
        <v>37</v>
      </c>
      <c r="O16" s="67" t="s">
        <v>38</v>
      </c>
      <c r="P16" s="64" t="s">
        <v>39</v>
      </c>
    </row>
    <row r="17" ht="18.75" customHeight="1" spans="1:17">
      <c r="A17" s="68">
        <v>1</v>
      </c>
      <c r="B17" s="69" t="s">
        <v>40</v>
      </c>
      <c r="C17" s="69" t="s">
        <v>41</v>
      </c>
      <c r="D17" s="70" t="s">
        <v>42</v>
      </c>
      <c r="E17" s="68" t="s">
        <v>43</v>
      </c>
      <c r="F17" s="68" t="s">
        <v>44</v>
      </c>
      <c r="G17" s="68" t="s">
        <v>45</v>
      </c>
      <c r="H17" s="68" t="s">
        <v>46</v>
      </c>
      <c r="I17" s="71">
        <v>2000</v>
      </c>
      <c r="J17" s="72">
        <v>3.5323</v>
      </c>
      <c r="K17" s="73">
        <v>0.4033</v>
      </c>
      <c r="L17" s="74">
        <f t="shared" ref="L17:L23" si="0">I17*J17</f>
        <v>7064.6</v>
      </c>
      <c r="M17" s="75">
        <f t="shared" ref="M17:M23" si="1">I17*K17</f>
        <v>806.6</v>
      </c>
      <c r="N17" s="68">
        <v>84818095</v>
      </c>
      <c r="O17" s="76" t="s">
        <v>47</v>
      </c>
      <c r="P17" s="2"/>
      <c r="Q17" s="2"/>
    </row>
    <row r="18" ht="18" spans="1:17">
      <c r="A18" s="68">
        <v>2</v>
      </c>
      <c r="B18" s="69" t="s">
        <v>48</v>
      </c>
      <c r="C18" s="69" t="s">
        <v>49</v>
      </c>
      <c r="D18" s="70" t="s">
        <v>42</v>
      </c>
      <c r="E18" s="68" t="s">
        <v>43</v>
      </c>
      <c r="F18" s="68" t="s">
        <v>44</v>
      </c>
      <c r="G18" s="68" t="s">
        <v>50</v>
      </c>
      <c r="H18" s="68" t="s">
        <v>46</v>
      </c>
      <c r="I18" s="71">
        <v>1000</v>
      </c>
      <c r="J18" s="72">
        <v>4.59</v>
      </c>
      <c r="K18" s="73">
        <v>0.5723</v>
      </c>
      <c r="L18" s="74">
        <f t="shared" si="0"/>
        <v>4590</v>
      </c>
      <c r="M18" s="75">
        <f t="shared" si="1"/>
        <v>572.3</v>
      </c>
      <c r="N18" s="68">
        <v>84818095</v>
      </c>
      <c r="O18" s="76" t="s">
        <v>47</v>
      </c>
      <c r="P18" s="2"/>
      <c r="Q18" s="2"/>
    </row>
    <row r="19" ht="18" spans="1:17">
      <c r="A19" s="68">
        <v>3</v>
      </c>
      <c r="B19" s="69" t="s">
        <v>51</v>
      </c>
      <c r="C19" s="69" t="s">
        <v>52</v>
      </c>
      <c r="D19" s="70" t="s">
        <v>42</v>
      </c>
      <c r="E19" s="68" t="s">
        <v>43</v>
      </c>
      <c r="F19" s="68" t="s">
        <v>44</v>
      </c>
      <c r="G19" s="68" t="s">
        <v>53</v>
      </c>
      <c r="H19" s="68" t="s">
        <v>46</v>
      </c>
      <c r="I19" s="71">
        <v>700</v>
      </c>
      <c r="J19" s="72">
        <v>6.2294</v>
      </c>
      <c r="K19" s="73">
        <v>0.7421</v>
      </c>
      <c r="L19" s="74">
        <f t="shared" si="0"/>
        <v>4360.58</v>
      </c>
      <c r="M19" s="75">
        <f t="shared" si="1"/>
        <v>519.47</v>
      </c>
      <c r="N19" s="68">
        <v>84818095</v>
      </c>
      <c r="O19" s="76" t="s">
        <v>47</v>
      </c>
      <c r="P19" s="2"/>
      <c r="Q19" s="2"/>
    </row>
    <row r="20" ht="18" spans="1:17">
      <c r="A20" s="68">
        <v>4</v>
      </c>
      <c r="B20" s="69" t="s">
        <v>54</v>
      </c>
      <c r="C20" s="69" t="s">
        <v>55</v>
      </c>
      <c r="D20" s="70" t="s">
        <v>42</v>
      </c>
      <c r="E20" s="68" t="s">
        <v>43</v>
      </c>
      <c r="F20" s="68" t="s">
        <v>44</v>
      </c>
      <c r="G20" s="68" t="s">
        <v>56</v>
      </c>
      <c r="H20" s="68" t="s">
        <v>46</v>
      </c>
      <c r="I20" s="71">
        <v>500</v>
      </c>
      <c r="J20" s="72">
        <v>13.86</v>
      </c>
      <c r="K20" s="73">
        <v>1.85</v>
      </c>
      <c r="L20" s="74">
        <f t="shared" si="0"/>
        <v>6930</v>
      </c>
      <c r="M20" s="75">
        <f t="shared" si="1"/>
        <v>925</v>
      </c>
      <c r="N20" s="68">
        <v>84818095</v>
      </c>
      <c r="O20" s="76" t="s">
        <v>47</v>
      </c>
      <c r="P20" s="2"/>
      <c r="Q20" s="2"/>
    </row>
    <row r="21" ht="18" spans="1:17">
      <c r="A21" s="68">
        <v>5</v>
      </c>
      <c r="B21" s="69" t="s">
        <v>57</v>
      </c>
      <c r="C21" s="69" t="s">
        <v>58</v>
      </c>
      <c r="D21" s="70" t="s">
        <v>42</v>
      </c>
      <c r="E21" s="68" t="s">
        <v>43</v>
      </c>
      <c r="F21" s="68" t="s">
        <v>44</v>
      </c>
      <c r="G21" s="68" t="s">
        <v>59</v>
      </c>
      <c r="H21" s="68" t="s">
        <v>46</v>
      </c>
      <c r="I21" s="71">
        <v>500</v>
      </c>
      <c r="J21" s="72">
        <v>18.45</v>
      </c>
      <c r="K21" s="73">
        <v>2.4605</v>
      </c>
      <c r="L21" s="74">
        <f t="shared" si="0"/>
        <v>9225</v>
      </c>
      <c r="M21" s="75">
        <f t="shared" si="1"/>
        <v>1230.25</v>
      </c>
      <c r="N21" s="68">
        <v>84818095</v>
      </c>
      <c r="O21" s="76" t="s">
        <v>47</v>
      </c>
      <c r="P21" s="2"/>
      <c r="Q21" s="2"/>
    </row>
    <row r="22" ht="20" customHeight="1" spans="1:17">
      <c r="A22" s="68">
        <v>6</v>
      </c>
      <c r="B22" s="77" t="s">
        <v>60</v>
      </c>
      <c r="C22" s="78"/>
      <c r="D22" s="70" t="s">
        <v>42</v>
      </c>
      <c r="E22" s="68" t="s">
        <v>43</v>
      </c>
      <c r="F22" s="68" t="s">
        <v>44</v>
      </c>
      <c r="G22" s="68" t="s">
        <v>61</v>
      </c>
      <c r="H22" s="68" t="s">
        <v>46</v>
      </c>
      <c r="I22" s="71">
        <v>100</v>
      </c>
      <c r="J22" s="72">
        <v>38.7783825</v>
      </c>
      <c r="K22" s="73">
        <v>5.3</v>
      </c>
      <c r="L22" s="74">
        <f t="shared" si="0"/>
        <v>3877.83825</v>
      </c>
      <c r="M22" s="75">
        <f t="shared" si="1"/>
        <v>530</v>
      </c>
      <c r="N22" s="68">
        <v>84818095</v>
      </c>
      <c r="O22" s="76" t="s">
        <v>47</v>
      </c>
      <c r="P22" s="2"/>
      <c r="Q22" s="2"/>
    </row>
    <row r="23" ht="18" spans="1:17">
      <c r="A23" s="68">
        <v>7</v>
      </c>
      <c r="B23" s="77" t="s">
        <v>62</v>
      </c>
      <c r="C23" s="78"/>
      <c r="D23" s="70" t="s">
        <v>42</v>
      </c>
      <c r="E23" s="68" t="s">
        <v>43</v>
      </c>
      <c r="F23" s="68" t="s">
        <v>44</v>
      </c>
      <c r="G23" s="68" t="s">
        <v>63</v>
      </c>
      <c r="H23" s="68" t="s">
        <v>46</v>
      </c>
      <c r="I23" s="71">
        <v>100</v>
      </c>
      <c r="J23" s="72">
        <v>56.77701315</v>
      </c>
      <c r="K23" s="73">
        <v>7.1</v>
      </c>
      <c r="L23" s="74">
        <f t="shared" si="0"/>
        <v>5677.701315</v>
      </c>
      <c r="M23" s="75">
        <f t="shared" si="1"/>
        <v>710</v>
      </c>
      <c r="N23" s="68">
        <v>84818095</v>
      </c>
      <c r="O23" s="76" t="s">
        <v>47</v>
      </c>
      <c r="P23" s="2"/>
      <c r="Q23" s="2"/>
    </row>
    <row r="24" ht="18.75" spans="1:17">
      <c r="B24" s="79" t="s">
        <v>64</v>
      </c>
      <c r="C24" s="80"/>
      <c r="D24" s="80"/>
      <c r="E24" s="80"/>
      <c r="F24" s="80"/>
      <c r="G24" s="80"/>
      <c r="H24" s="80"/>
      <c r="I24" s="81"/>
      <c r="J24" s="82"/>
      <c r="K24" s="83"/>
      <c r="L24" s="84">
        <f>SUM(L17:L23)</f>
        <v>41725.719565</v>
      </c>
      <c r="M24" s="85">
        <f>SUM(M17:M23)</f>
        <v>5293.62</v>
      </c>
      <c r="N24" s="86"/>
      <c r="O24" s="2"/>
      <c r="P24" s="2"/>
      <c r="Q24" s="2"/>
    </row>
    <row r="25" ht="18.75" spans="1:17">
      <c r="B25" s="87"/>
      <c r="C25" s="87"/>
      <c r="D25" s="87"/>
      <c r="E25" s="87"/>
      <c r="F25" s="87"/>
      <c r="G25" s="87"/>
      <c r="H25" s="87"/>
      <c r="J25" s="88"/>
      <c r="K25" s="89"/>
      <c r="L25" s="90"/>
      <c r="M25" s="91"/>
      <c r="N25" s="92"/>
      <c r="O25" s="2"/>
      <c r="P25" s="2"/>
      <c r="Q25" s="2"/>
    </row>
    <row r="26" spans="1:17">
      <c r="A26" s="93" t="s">
        <v>65</v>
      </c>
      <c r="G26" s="94"/>
      <c r="H26" s="94"/>
      <c r="I26" s="95"/>
      <c r="J26" s="96"/>
      <c r="K26" s="97"/>
      <c r="L26" s="98"/>
      <c r="N26" s="99"/>
      <c r="O26" s="2"/>
    </row>
    <row r="27" spans="1:17">
      <c r="A27" s="93" t="s">
        <v>66</v>
      </c>
      <c r="B27" s="4"/>
      <c r="C27" s="4"/>
      <c r="E27" s="4"/>
      <c r="F27" s="4"/>
      <c r="G27" s="4"/>
      <c r="H27" s="4"/>
      <c r="I27" s="4"/>
      <c r="K27" s="100"/>
      <c r="N27" s="99"/>
      <c r="O27" s="2"/>
    </row>
    <row r="28" spans="1:17">
      <c r="A28" s="101" t="s">
        <v>67</v>
      </c>
      <c r="B28" s="102"/>
      <c r="C28" s="102"/>
      <c r="D28" s="103"/>
      <c r="E28" s="102"/>
      <c r="F28" s="102"/>
      <c r="G28" s="102"/>
      <c r="H28" s="102"/>
      <c r="I28" s="102"/>
      <c r="J28" s="104"/>
      <c r="K28" s="105"/>
      <c r="L28" s="104" t="s">
        <v>68</v>
      </c>
      <c r="M28" s="106"/>
      <c r="N28" s="107"/>
      <c r="O28" s="2"/>
    </row>
  </sheetData>
  <sheetProtection formatCells="0" insertHyperlinks="0" autoFilter="0"/>
  <mergeCells count="9">
    <mergeCell ref="A1:O1"/>
    <mergeCell ref="A2:O2"/>
    <mergeCell ref="A8:K8"/>
    <mergeCell ref="M11:N11"/>
    <mergeCell ref="D12:H12"/>
    <mergeCell ref="A13:K13"/>
    <mergeCell ref="B24:H24"/>
    <mergeCell ref="A3:J4"/>
    <mergeCell ref="A5:F7"/>
  </mergeCells>
  <conditionalFormatting sqref="B21:C21">
    <cfRule type="duplicateValues" dxfId="0" priority="2"/>
  </conditionalFormatting>
  <conditionalFormatting sqref="B17:C20 B22:C23">
    <cfRule type="duplicateValues" dxfId="0" priority="3"/>
  </conditionalFormatting>
  <printOptions horizontalCentered="1"/>
  <pageMargins left="0.236220472440945" right="0" top="0.748031496062992" bottom="0.748031496062992" header="0.31496062992126" footer="0.31496062992126"/>
  <pageSetup paperSize="9" scale="70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A5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Proforma Invoice</vt:lpstr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Una-小小</cp:lastModifiedBy>
  <dcterms:created xsi:type="dcterms:W3CDTF">2017-01-28T04:57:00Z</dcterms:created>
  <cp:lastPrinted>2025-10-23T18:58:00Z</cp:lastPrinted>
  <dcterms:modified xsi:type="dcterms:W3CDTF">2026-01-04T06:11:41Z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0474C53FFDA8494BB9CCE5B867B896EA_13</vt:lpwstr>
  </property>
  <property fmtid="{D5CDD505-2E9C-101B-9397-08002B2CF9AE}" pid="4" name="CalculationRule">
    <vt:i4>0</vt:i4>
  </property>
</Properties>
</file>
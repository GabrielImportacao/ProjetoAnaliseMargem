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3-26 (Q2026-01) PED370 - UNA\"/>
    </mc:Choice>
  </mc:AlternateContent>
  <xr:revisionPtr revIDLastSave="0" documentId="8_{1A58F07A-E14C-40B9-9E4D-FAF895A978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forma Invoice" sheetId="1" r:id="rId1"/>
    <sheet name="Folha1" sheetId="2" r:id="rId2"/>
  </sheets>
  <definedNames>
    <definedName name="_xlnm._FilterDatabase" localSheetId="0" hidden="1">'Proforma Invoice'!$A$18:$O$18</definedName>
    <definedName name="_xlnm.Print_Area" localSheetId="0">'Proforma Invoice'!$A$1:$P$148</definedName>
    <definedName name="_xlnm.Print_Titles" localSheetId="0">'Proforma Invoice'!$1:$9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7" i="1" l="1"/>
  <c r="N138" i="1"/>
  <c r="N139" i="1"/>
  <c r="N140" i="1"/>
  <c r="N141" i="1"/>
  <c r="N142" i="1"/>
  <c r="M137" i="1"/>
  <c r="M138" i="1"/>
  <c r="M139" i="1"/>
  <c r="M140" i="1"/>
  <c r="M141" i="1"/>
  <c r="M142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M144" i="1" l="1"/>
  <c r="N144" i="1"/>
</calcChain>
</file>

<file path=xl/sharedStrings.xml><?xml version="1.0" encoding="utf-8"?>
<sst xmlns="http://schemas.openxmlformats.org/spreadsheetml/2006/main" count="1138" uniqueCount="394">
  <si>
    <t>WENZHOU LEINA VALVE CO., LTD.
Add:3 Street 15 Road,Binhai Industry Park, Wenzhou,
     Zhejiang, P.R. China 325024
Tel: 0086.577.55885482       Fax: 0086.577.55885481
     http://en.reynavalve.com/     E-mail:sales@reynavalve.com</t>
  </si>
  <si>
    <t>Proforma Invoice</t>
  </si>
  <si>
    <t>INVOICE TO:    OSSIANO CAPITAL INC.		
	        755 ST. JEAN BOULEVARD - SUITE 305 - POINTE CLAIRE - QUEBEC - CANADA H9R 5M9 
                       TEL.: +1 514 693 9150 | FAX.: +1 514 693 9151 | E-MAIL: info@ossianocapital.com</t>
  </si>
  <si>
    <t xml:space="preserve">IMPORTER: RGS COMEX COMÉRCIO IMPORTAÇÃO E EXPORTAÇÃO LTDA
                    AV JOCA BRANDÃO, 744 - SALA 02 - CENTRO - CEP: 88.301-441 - ITAJAÍ-SC - BRAZIL
                    CNPJ: 05.289.272/0002-58 - IE: 256268592       </t>
  </si>
  <si>
    <t>Date:FEB-11-2026</t>
  </si>
  <si>
    <t>BUYER:  PLASNOX IND E COM IMPORTACOES LTDA
RUA JOSÉ KOSER, 185 – BELCHIOR ALTO – GASPAR/SC - BRAZIL
CEP: 89118-040 - CNPJ: 79.925.442/0002-80 - INSCRIÇÃO ESTADUAL: 260.452.998
FONE: +5547-33316700</t>
  </si>
  <si>
    <t>Ref.No:LN2602</t>
  </si>
  <si>
    <t>PLASNOX REF.: RPLA053-26</t>
  </si>
  <si>
    <t>We are Pleasure to offer you the undermentioned goods on the Terms and Conditions described as follows :</t>
  </si>
  <si>
    <t>Delivery Time</t>
  </si>
  <si>
    <t>__85__ DAYS AFTER APPROVED</t>
  </si>
  <si>
    <t>Validity</t>
  </si>
  <si>
    <t>Shipping Port</t>
  </si>
  <si>
    <t>NINGBO/SHANGHAI PORT,CHINA</t>
  </si>
  <si>
    <t>Destination</t>
  </si>
  <si>
    <t>30 DAYS AFTER ISSUED OFFER SHEET</t>
  </si>
  <si>
    <t>Package</t>
  </si>
  <si>
    <t>EXPORTING PLYWOOD CASE</t>
  </si>
  <si>
    <t>Inspection</t>
  </si>
  <si>
    <t>DESIGNATED SEAPORT BY CLIENT</t>
  </si>
  <si>
    <t>Payment</t>
  </si>
  <si>
    <t>20% in advance , 80%  30days after vessel sailed .</t>
  </si>
  <si>
    <t>Term</t>
  </si>
  <si>
    <t>BANK INFORMATION: BENEFICIARY: WENZHOU LEINA VALVE CO.,LTD
Zhejiang Rural Credit cooperative union, Hangzhou, china
SWIFT: ZJRCCN2N 
NO.660 QIUTAO ROAD,HANGZHOU,ZHEJIANG PROVINCE,CHINA,310016
ACCOUNT NUMBER: 201000117513516                
INTERMEDIARY BANK: CITIBANK N.A.NEWYORK
SWIFT CODE: CITIUS33</t>
  </si>
  <si>
    <t>FOB</t>
  </si>
  <si>
    <t>ITEM</t>
  </si>
  <si>
    <t>Code</t>
  </si>
  <si>
    <t>FULL DESCRIPTION (PT-BR)</t>
  </si>
  <si>
    <t>Description</t>
  </si>
  <si>
    <t>Material</t>
  </si>
  <si>
    <t>PRESSURE CLASS</t>
  </si>
  <si>
    <t>Size</t>
  </si>
  <si>
    <t>Connection Ends</t>
  </si>
  <si>
    <t>Qty(PC)</t>
  </si>
  <si>
    <t>Unit Price(USD)</t>
  </si>
  <si>
    <t>N.W.of each item/KGS</t>
  </si>
  <si>
    <t>Total Price(USD)</t>
  </si>
  <si>
    <t>TOTAL Net Weight</t>
  </si>
  <si>
    <t>NCM CODE</t>
  </si>
  <si>
    <t>HEAT NUMBER</t>
  </si>
  <si>
    <t>PRODUCT LINE</t>
  </si>
  <si>
    <t>MMR2101.1102</t>
  </si>
  <si>
    <t>FILTRO Y 150 LBS 304 DN008 - 1/4" BSP</t>
  </si>
  <si>
    <t>Y FILTER 150LBS SCREEN 0,8MM 304</t>
  </si>
  <si>
    <t>ASTM A351 GRAU CF8(304)</t>
  </si>
  <si>
    <t>150LBS</t>
  </si>
  <si>
    <t>DN008 - 1/4P</t>
  </si>
  <si>
    <t>BSP</t>
  </si>
  <si>
    <t>L053261</t>
  </si>
  <si>
    <t>FILTRO Y (14) - (14) FILT Y ROSC [UNA]</t>
  </si>
  <si>
    <t>MMR2101.1105</t>
  </si>
  <si>
    <t>FILTRO Y 150 LBS 304 DN020 - 3/4" BSP</t>
  </si>
  <si>
    <t>DN020 - 3/4P</t>
  </si>
  <si>
    <t>MMR2101.1107</t>
  </si>
  <si>
    <t>FILTRO Y 150 LBS 304 DN032 - 1.1/4" BSP</t>
  </si>
  <si>
    <t>DN032 - 1.1/4P</t>
  </si>
  <si>
    <t>MMR2101.1109</t>
  </si>
  <si>
    <t>FILTRO Y 150 LBS 304 DN050 - 2" BSP</t>
  </si>
  <si>
    <t>DN050 - 2P</t>
  </si>
  <si>
    <t>MMR2101.1112</t>
  </si>
  <si>
    <t>FILTRO Y 150 LBS 304 DN100 - 4" BSP</t>
  </si>
  <si>
    <t>DN100 - 4P</t>
  </si>
  <si>
    <t>MMR2101.5104</t>
  </si>
  <si>
    <t>FILTRO Y 150 LBS WCB DN015 - 1/2" BSP</t>
  </si>
  <si>
    <t>ASTM A216 GRAU WCB</t>
  </si>
  <si>
    <t>DN015 - 1/2P</t>
  </si>
  <si>
    <t>L053262</t>
  </si>
  <si>
    <t>MMR2101.5109</t>
  </si>
  <si>
    <t>FILTRO Y 150 LBS WCB DN050 - 2" BSP</t>
  </si>
  <si>
    <t>MMR2101.5111</t>
  </si>
  <si>
    <t>FILTRO Y 150 LBS WCB DN080 - 3" BSP</t>
  </si>
  <si>
    <t>DN080 - 3P</t>
  </si>
  <si>
    <t>MMR2801.1009</t>
  </si>
  <si>
    <t>VAL. 200 WOG RET. PORTINHOLA 304 DN050 - 2" BSP</t>
  </si>
  <si>
    <t>SWING CHECK VALVE</t>
  </si>
  <si>
    <t>ASTM A351 GRAU. CF8 (304)</t>
  </si>
  <si>
    <t>200WOG</t>
  </si>
  <si>
    <t>L053263</t>
  </si>
  <si>
    <t>VALV 200W INOX (28) - (28) VALV WOG [UNA]</t>
  </si>
  <si>
    <t>MMR2801.1011</t>
  </si>
  <si>
    <t>VAL. 200 WOG RET. PORTINHOLA 304 DN080 - 3" BSP</t>
  </si>
  <si>
    <t>MMR2801.2004</t>
  </si>
  <si>
    <t>VALVULA 200 WOG RETENCAO PORTINHOLA 316 DN015 - 1/2" BSP</t>
  </si>
  <si>
    <t>ASTM A351 GRAU CF8M (316)</t>
  </si>
  <si>
    <t>L053264</t>
  </si>
  <si>
    <t>MMR2801.2011</t>
  </si>
  <si>
    <t>VALVULA 200 WOG RETENCAO PORTINHOLA 316 DN080 - 3" BSP</t>
  </si>
  <si>
    <t>MMR2802.1011</t>
  </si>
  <si>
    <t>VAL. 200 WOG GLOBO 304 DN080 - 3" BSP</t>
  </si>
  <si>
    <t>GLOBE VALVE</t>
  </si>
  <si>
    <t>L053265</t>
  </si>
  <si>
    <t>MMR2802.2004</t>
  </si>
  <si>
    <t>VALVULA 200 WOG GLOBO 316 DN015 - 1/2" BSP</t>
  </si>
  <si>
    <t>L053266</t>
  </si>
  <si>
    <t>MMR2802.2005</t>
  </si>
  <si>
    <t>VALVULA 200 WOG GLOBO 316 DN020 - 3/4" BSP</t>
  </si>
  <si>
    <t>MMR2803.1009</t>
  </si>
  <si>
    <t>VAL. 200 WOG GAVETA 304 DN050 - 2" BSP</t>
  </si>
  <si>
    <t>GATE VALVE</t>
  </si>
  <si>
    <t>L053267</t>
  </si>
  <si>
    <t>MMR2804.1105</t>
  </si>
  <si>
    <t>VALVULA 200 WOG RETENCAO VERTICAL-MOLA INOX 304 DN020-3/4P BSP</t>
  </si>
  <si>
    <t>VERTICAL RETAINING VALVE WITH SPRING</t>
  </si>
  <si>
    <t>ASTM A351 GRAU CF8 (304)</t>
  </si>
  <si>
    <t>800WOG</t>
  </si>
  <si>
    <t>L053268</t>
  </si>
  <si>
    <t>MMR2804.1106</t>
  </si>
  <si>
    <t>VALVULA 200 WOG RETENCAO VERTICAL-MOLA INOX 304 DN025-1P BSP</t>
  </si>
  <si>
    <t>DN025 - 1P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</si>
  <si>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</si>
  <si>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</si>
  <si>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</si>
  <si>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</si>
  <si>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DN040 - 1.1/2P</t>
  </si>
  <si>
    <t>MMR2804.1109</t>
  </si>
  <si>
    <t>VALVULA 200 WOG RETENCAO VERTICAL-MOLA INOX 304 DN050-2 P BSP</t>
  </si>
  <si>
    <t>MMR2804.2104</t>
  </si>
  <si>
    <t>VALVULA 200 WOG RETENCAO VERTICAL-MOLA INOX 316 DN015-1/2P BSP</t>
  </si>
  <si>
    <t>L053269</t>
  </si>
  <si>
    <t>MMR2804.2106</t>
  </si>
  <si>
    <t>VALVULA 200 WOG RETENCAO VERTICAL-MOLA INOX 316 DN025-1P BSP</t>
  </si>
  <si>
    <t>MMR3102.1102</t>
  </si>
  <si>
    <t>VEM MONO MINI FF 150LBS PR TP 130C 10BAR CORPO 304 DN008 - 1/4P BSP</t>
  </si>
  <si>
    <t>1PC - MONOBLOC BALL VALVE MINI - REDUCED PASSAGE - FEMALE X FEMALE</t>
  </si>
  <si>
    <t>PN63</t>
  </si>
  <si>
    <t>DN08 - 1/4P</t>
  </si>
  <si>
    <t>L0532610</t>
  </si>
  <si>
    <t>VALV ESFERA (29) - (29) VALV ESFERA [UNA]</t>
  </si>
  <si>
    <t>MMR3103.1105</t>
  </si>
  <si>
    <t>VEM MONO MINI MF 150LBS PR TP 130C 10BAR CORPO 304 DN020 - 3/4P BSP</t>
  </si>
  <si>
    <t>1PC - MONOBLOC BALL VALVE MINI - REDUCED PASSAGE - MALE X FEMALE</t>
  </si>
  <si>
    <t>BSP MALE DIN2999 X BSP FEMALE BS21/ISO228/ISO1722.2</t>
  </si>
  <si>
    <t>L0532611</t>
  </si>
  <si>
    <t>MMR3112.1106</t>
  </si>
  <si>
    <t>VET TRIP 150LBS PP TR 180C 10BAR CORPO INOX 304 DN025-1P BSP</t>
  </si>
  <si>
    <t>3PC TRIPARTITE BALL VALVE - 1000WOG - FULL PASSAGE - LENGTH STANDARD IS M3 STANDARD LONG</t>
  </si>
  <si>
    <t>1000WOG</t>
  </si>
  <si>
    <t>L0532612</t>
  </si>
  <si>
    <t>MMR3112.1109</t>
  </si>
  <si>
    <t>VET TRIP 150LBS PP TR 180C 10BAR CORPO INOX 304 DN050-2 P BSP</t>
  </si>
  <si>
    <t>MMR3112.1112</t>
  </si>
  <si>
    <t>VET TRIP 150LBS PP TR 180C 10BAR CORPO INOX 304 DN100-4P BSP</t>
  </si>
  <si>
    <t>MMR3112.1304</t>
  </si>
  <si>
    <t>VET TRIP 150LBS PP TR 180C 10BAR CORPO INOX 304 DN015-1/2P SW</t>
  </si>
  <si>
    <t>3PC TRIPARTITE BALL VALVE - 1000WOG - FULL PASSAGE - LENGTH STANDARD IS M3 STANDARD LONG - WITH HEXAGONAL CAP</t>
  </si>
  <si>
    <t>SW (FITTING FOR WELDING)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</si>
  <si>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</si>
  <si>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</si>
  <si>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</si>
  <si>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</si>
  <si>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</si>
  <si>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</si>
  <si>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</si>
  <si>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</si>
  <si>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DN065 - 2.1/2P</t>
  </si>
  <si>
    <t>MMR3112.1312</t>
  </si>
  <si>
    <t>VET TRIP 150LBS PP TR 180C 10BAR CORPO INOX 304 DN100-4P SW</t>
  </si>
  <si>
    <t>MMR3112.2106</t>
  </si>
  <si>
    <t>VET TRIP 150LBS PP TR 180C 10BAR CORPO INOX 316 DN025-1P BSP</t>
  </si>
  <si>
    <t>L0532613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</si>
  <si>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</si>
  <si>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</si>
  <si>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</si>
  <si>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</si>
  <si>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</si>
  <si>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</si>
  <si>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MMR3112.2212</t>
  </si>
  <si>
    <t>VET TRIP 150LBS PP TR 180C 10BAR CORPO INOX 316 DN100-4P NPT</t>
  </si>
  <si>
    <t>NPT</t>
  </si>
  <si>
    <t>MMR3112.5104</t>
  </si>
  <si>
    <t>VET PP TR 180C 10BAR CORPO WCB ESFERA E PARAFUSOS 304 DN015-1/2P BSP</t>
  </si>
  <si>
    <t>L0532614</t>
  </si>
  <si>
    <t>MMR3112.5105</t>
  </si>
  <si>
    <t>VET PP TR 180C 10BAR CORPO WCB ESFERA E PARAFUSOS 304 DN020-3/4P BSP</t>
  </si>
  <si>
    <t>MMR3112.5106</t>
  </si>
  <si>
    <t>VET PP TR 180C 10BAR CORPO WCB ESFERA E PARAFUSOS 304 DN025-1P BSP</t>
  </si>
  <si>
    <t>MMR3112.5107</t>
  </si>
  <si>
    <t>VET PP TR 180C 10BAR CORPO WCB ESFERA E PARAFUSOS 304 DN032-1.1/4P BSP</t>
  </si>
  <si>
    <t>MMR3112.5108</t>
  </si>
  <si>
    <t>VET PP TR 180C 10BAR CORPO WCB ESFERA E PARAFUSOS 304 DN040-1.1/2P BSP</t>
  </si>
  <si>
    <t>MMR3112.5109</t>
  </si>
  <si>
    <t>VET PP TR 180C 10BAR CORPO WCB ESFERA E PARAFUSOS 304 DN050-2 P BSP</t>
  </si>
  <si>
    <t>MMR3112.5110</t>
  </si>
  <si>
    <t>MMR3112.5111</t>
  </si>
  <si>
    <t>MMR3112.5204</t>
  </si>
  <si>
    <t>VET PP TR 180C 10BAR CORPO WCB ESFERA E PARAFUSOS 304 DN015-1/2P NPT</t>
  </si>
  <si>
    <t>MMR3112.5205</t>
  </si>
  <si>
    <t>VET PP TR 180C 10BAR CORPO WCB ESFERA E PARAFUSOS 304 DN020-3/4P NPT</t>
  </si>
  <si>
    <t>MMR3112.5206</t>
  </si>
  <si>
    <t>VET PP TR 180C 10BAR CORPO WCB ESFERA E PARAFUSOS 304 DN025-1P NPT</t>
  </si>
  <si>
    <t>MMR3112.5209</t>
  </si>
  <si>
    <t>VET PP TR 180C 10BAR CORPO WCB ESFERA E PARAFUSOS 304 DN050-2 P NPT</t>
  </si>
  <si>
    <t>MMR3112.5210</t>
  </si>
  <si>
    <t>VET PP TR 180C 10BAR CORPO WCB ESFERA E PARAFUSOS 304 DN065-2.1/2P NPT</t>
  </si>
  <si>
    <t>MMR3112.5305</t>
  </si>
  <si>
    <t>VET PP TR 180C 10BAR CORPO WCB ESFERA E PARAFUSOS 304 DN020-3/4P SW</t>
  </si>
  <si>
    <t>MMR3112.5306</t>
  </si>
  <si>
    <t>VET PP TR 180C 10BAR CORPO WCB ESFERA E PARAFUSOS 304 DN025-1P SW</t>
  </si>
  <si>
    <t>MMR3112.5307</t>
  </si>
  <si>
    <t>VET PP TR 180C 10BAR CORPO WCB ESFERA E PARAFUSOS 304 DN032-1.1/4P SW</t>
  </si>
  <si>
    <t>MMR3113.2105</t>
  </si>
  <si>
    <t>VET 150LBS PP COM BASE ISO TR 180C 10BAR CORPO 316 DN020 - 3/4P BSP</t>
  </si>
  <si>
    <t>3PC TRIPARTITE BALL VALVE - 1000WOG - FULL PASSAGE</t>
  </si>
  <si>
    <t>L0532615</t>
  </si>
  <si>
    <t>MMR3116.1006</t>
  </si>
  <si>
    <t>VET TRIPARTIDA FLANGEADO ANSI 150LBS PP TR 304 DN025 - 1P</t>
  </si>
  <si>
    <t>3PC BALL VALVE FLANGED ANSI 150LBS - FULL PASSAGE - ( without actuator base)</t>
  </si>
  <si>
    <t>FLANGED ANSI 150LBS</t>
  </si>
  <si>
    <t>L0532616</t>
  </si>
  <si>
    <t>MMR3116.1009</t>
  </si>
  <si>
    <t>VET TRIPARTIDA FLANGEADO ANSI 150LBS PP TR 304 DN050 - 2P</t>
  </si>
  <si>
    <t>MMR3116.5006</t>
  </si>
  <si>
    <t>VET TRIPARTIDA FLANGEADO ANSI 150LBS PP TR WCB DN025 - 1P</t>
  </si>
  <si>
    <t>L0532617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</si>
  <si>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</si>
  <si>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</si>
  <si>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</si>
  <si>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</si>
  <si>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MMR3124.2104</t>
  </si>
  <si>
    <t>VET TRIP 3VL 150L PR TR 180C 10BAR CORPO INOX 316 DN015-1/2P BSP</t>
  </si>
  <si>
    <t>3WAY "L" TRIPARTITE BALL VALVE - 1000WOG - REDUCED PASSAGE</t>
  </si>
  <si>
    <t>L0532618</t>
  </si>
  <si>
    <t>MMR3132.1102</t>
  </si>
  <si>
    <t>VEB BIPARTIDA 150LBS PP TR 180C 10BAR CORPO 304 DN008 - 1/4P BSP</t>
  </si>
  <si>
    <t>2PC BALL VALVE - 1000WOG - FULL PASSAGE</t>
  </si>
  <si>
    <t>L0532619</t>
  </si>
  <si>
    <t>MMR3132.1103</t>
  </si>
  <si>
    <t>VEB BIPARTIDA 150LBS PP TR 180C 10BAR CORPO 304 DN010 - 3/8P BSP</t>
  </si>
  <si>
    <t>DN010 - 3/8P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</si>
  <si>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</si>
  <si>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</si>
  <si>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</si>
  <si>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</si>
  <si>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</si>
  <si>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</si>
  <si>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</si>
  <si>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</si>
  <si>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</si>
  <si>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</si>
  <si>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</si>
  <si>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</si>
  <si>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MMR3132.2102</t>
  </si>
  <si>
    <t>VEB BIPARTIDA 150LBS PP TR 180C 10BAR CORPO 316 DN008 - 1/4P BSP</t>
  </si>
  <si>
    <t>L0532620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</si>
  <si>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</si>
  <si>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</si>
  <si>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</si>
  <si>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</si>
  <si>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</si>
  <si>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</si>
  <si>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MMR3132.2109</t>
  </si>
  <si>
    <t>VEB BIPARTIDA 150LBS PP TR 180C 10BAR CORPO 316 DN050 - 2P BSP</t>
  </si>
  <si>
    <t>MMR3133.1011</t>
  </si>
  <si>
    <t>VEB BIPARTIDA FLANGEADO ANSI 150LBS PP TR 304 DN080 - 3P</t>
  </si>
  <si>
    <t>2PC BALL VALVE FLANGED ANSI 150LBS - FULL PASSAGE - WITH LOW MOUNTING PAD ( without actuator base)</t>
  </si>
  <si>
    <t>L0532621</t>
  </si>
  <si>
    <t>MMR3133.1012</t>
  </si>
  <si>
    <t>VEB BIPARTIDA FLANGEADO ANSI 150LBS PP TR 304 DN100 - 4P</t>
  </si>
  <si>
    <t>MMR3133.2009</t>
  </si>
  <si>
    <t>VEB BIPARTIDA FLANGEADO ANSI 150LBS PP TR 316 DN050 - 2P</t>
  </si>
  <si>
    <t>L0532622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</si>
  <si>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</si>
  <si>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</si>
  <si>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</si>
  <si>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</si>
  <si>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</si>
  <si>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</si>
  <si>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MMR3133.2014</t>
  </si>
  <si>
    <t>VEB BIPARTIDA FLANGEADO ANSI 150LBS PP TR 316 DN150 - 6P COMP=267MM</t>
  </si>
  <si>
    <t>2PC BALL VALVE FLANGED ANSI 150LBS - FULL PASSAGE - WITH LOW MOUNTING PAD ( without actuator base) - DN 6" - length 267mm(short)</t>
  </si>
  <si>
    <t>DN150 - 6P</t>
  </si>
  <si>
    <t>MMR3133.5009</t>
  </si>
  <si>
    <t>VEB BIPARTIDA FLANGEADO ANSI 150LBS PP TR WCB DN050 - 2P</t>
  </si>
  <si>
    <t>L0532623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</si>
  <si>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</si>
  <si>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</si>
  <si>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</si>
  <si>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</si>
  <si>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MMR3133.5014</t>
  </si>
  <si>
    <t>VEB BIPARTIDA FLANGEADO ANSI 150LBS PP TR WCB DN150 - 6P COMP=267MM</t>
  </si>
  <si>
    <t>MMR3138.0006</t>
  </si>
  <si>
    <t>SUPORTE AC PARA VEB BIPARTIDA(MMR3133) DN050 - 2P</t>
  </si>
  <si>
    <t>A BRACKET + AN ADAPTER + A WHITE TEFLON SEAL+ 4 SCREWS TO 2PC BALL VALVE FLANGED(CODE PLASNOX MMR3133)</t>
  </si>
  <si>
    <t>CARBON STEEL</t>
  </si>
  <si>
    <t>-</t>
  </si>
  <si>
    <t>L0532624</t>
  </si>
  <si>
    <t>MMR3139.1105</t>
  </si>
  <si>
    <t>VEB BIPARTIDA COM BASE ISO PP TR 180C 10BAR 304 DN020 - 3/4P BSP</t>
  </si>
  <si>
    <t>2PC BALL VALVE - 1000WOG - FULL PASSAGE - WITH DIRECT MOUNTING PAD ISO5211</t>
  </si>
  <si>
    <t>L0532625</t>
  </si>
  <si>
    <t>MMR3139.1111</t>
  </si>
  <si>
    <t>VEB BIPARTIDA COM BASE ISO PP TR 180C 10BAR 304 DN080 - 3P BSP</t>
  </si>
  <si>
    <t>MMR3408.1009</t>
  </si>
  <si>
    <t>VET BWOD 150LBS PP TP 130C 10BAR CORPO INOX 304 - 09 - 50,80 2P</t>
  </si>
  <si>
    <t>3PC TRIPARTITE BALL VALVE  - FULL PASSAGE</t>
  </si>
  <si>
    <t>OD09 - 50,80 (2P)</t>
  </si>
  <si>
    <t>BWOD</t>
  </si>
  <si>
    <t>L0532626</t>
  </si>
  <si>
    <t>MMR3408.1010</t>
  </si>
  <si>
    <t>VET BWOD 150LBS PP TP 130C 10BAR CORPO INOX 304 - 10 - 63,50 2.1/2P</t>
  </si>
  <si>
    <t>600PSI</t>
  </si>
  <si>
    <t>OD10 - 63,50 (2.1/2P)</t>
  </si>
  <si>
    <t>MMR3408.1011</t>
  </si>
  <si>
    <t>VET BWOD 150LBS PP TP 130C 10BAR CORPO INOX 304 - 11 - 76,20 3P</t>
  </si>
  <si>
    <t>OD11 - 76,20 (3P)</t>
  </si>
  <si>
    <t>MMR3408.1504</t>
  </si>
  <si>
    <t>VET 2TC 150LBS PP TP 130C 10BAR CORPO INOX 304 - 04 - 12,70 1/2P</t>
  </si>
  <si>
    <t>OD04 - 12,70 (1/2P)</t>
  </si>
  <si>
    <t>TC - CLAMP ISO2852</t>
  </si>
  <si>
    <t>MMR3408.1507</t>
  </si>
  <si>
    <t>VET 2TC 150LBS PP TP 130C 10BAR CORPO INOX 304 - 07 - 31,75 1.1/4P</t>
  </si>
  <si>
    <t>OD07 - 31,75 (1.1/4P)</t>
  </si>
  <si>
    <t>MMR3408.1509</t>
  </si>
  <si>
    <t>VET 2TC 150LBS PP TP 130C 10BAR CORPO INOX 304 - 09 - 50,80 2P</t>
  </si>
  <si>
    <t>MMR3408.2506</t>
  </si>
  <si>
    <t>VET 2TC 150LBS PP TP 130C 10BAR CORPO INOX 316 - 06 - 25,40 1P</t>
  </si>
  <si>
    <t>OD06 - 25,40 (1P)</t>
  </si>
  <si>
    <t>L0532627</t>
  </si>
  <si>
    <t>MMR3408.2511</t>
  </si>
  <si>
    <t>VET 2TC 150LBS PP TP 130C 10BAR CORPO INOX 316 - 11 - 76,20 3P</t>
  </si>
  <si>
    <t>MMR2901.1202</t>
  </si>
  <si>
    <t>VALVULA GLOBO AGULHA 6000 LBS 304 DN008 - 1/4" NPT</t>
  </si>
  <si>
    <t>GLOBE NEEDLE VALVE STAINLESS</t>
  </si>
  <si>
    <t>ASTM A182 GRAU F304</t>
  </si>
  <si>
    <t>6000LBS</t>
  </si>
  <si>
    <t>L0532628</t>
  </si>
  <si>
    <t>VALV GLOBO (32) - (32) VALV GLOBO [UNA]</t>
  </si>
  <si>
    <t>MMR2901.1205</t>
  </si>
  <si>
    <t>VALVULA GLOBO AGULHA 6000 LBS 304 DN020 - 3/4" NPT</t>
  </si>
  <si>
    <t>MMR2901.2202</t>
  </si>
  <si>
    <t>VALVULA GLOBO AGULHA 6000 LBS 316 DN008 - 1/4" NPT</t>
  </si>
  <si>
    <t>ASTM A182 GRAU F316</t>
  </si>
  <si>
    <t>L0532629</t>
  </si>
  <si>
    <t>MMR3301.1004</t>
  </si>
  <si>
    <t>VALVULA RETENCAO DISCO WAFER ANSI 300 LBS 304 DN015 - 1/2"</t>
  </si>
  <si>
    <t>CHECK VALVE TYPE DISK WAFER ANSI B16.5 150/300LBS AND DIN PN40
*BODY SS304 / DISK SS304 / SPRING SS304 / SPRING SUPPORT SS304</t>
  </si>
  <si>
    <t>WAFER</t>
  </si>
  <si>
    <t>L0532630</t>
  </si>
  <si>
    <t>VALV RETENÇÃO (33) - (33) VALV RETN [UNA]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</si>
  <si>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</si>
  <si>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</si>
  <si>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</si>
  <si>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</si>
  <si>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MMR3301.1012</t>
  </si>
  <si>
    <t>VALVULA RETENCAO DISCO WAFER ANSI 300 LBS 304 DN100 - 4"</t>
  </si>
  <si>
    <t>MMR3301.2008</t>
  </si>
  <si>
    <t>VALVULA RETENCAO DISCO WAFER ANSI 300 LBS 316 DN040 - 1.1/2"</t>
  </si>
  <si>
    <t>CHECK VALVE TYPE DISK WAFER ANSI B16.5 150/300LBS AND DIN PN40
*BODY SS316 / DISK SS316 / SPRING SS316 / SPRING SUPPORT SS316</t>
  </si>
  <si>
    <t>ASTM A351 GRAU CF8M(316)</t>
  </si>
  <si>
    <t>L0532631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</si>
  <si>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</si>
  <si>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</si>
  <si>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</si>
  <si>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</si>
  <si>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</si>
  <si>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</si>
  <si>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MMR3304.2009</t>
  </si>
  <si>
    <t>VR DUPLA WAF PORTINHOLA 150L TI316 DN050 DN2P VITON</t>
  </si>
  <si>
    <t>CHECK VALVE TYPE DOUBLE DISC WAFER ANSI B16.5 150LBS</t>
  </si>
  <si>
    <t>L0532632</t>
  </si>
  <si>
    <t>MMR3304.2012</t>
  </si>
  <si>
    <t>VR DUPLA WAF PORTINHOLA 150L TI316 DN100 DN4P VITON</t>
  </si>
  <si>
    <t>MMR3306.2011</t>
  </si>
  <si>
    <t>VALV RET PORTINHOLA UNICA/OSCILANTE WAF 150L 316 DN080 - 3P VITON</t>
  </si>
  <si>
    <t>CHECK VALVE "SINGLE DOOR" FOR "MOUNTING THE ANSI B16.5 150LBS FLANGES"</t>
  </si>
  <si>
    <t>L0532633</t>
  </si>
  <si>
    <t>MMR3306.2015</t>
  </si>
  <si>
    <t>VALV RET PORTINHOLA UNICA/OSCILANTE WAF 150L 316 DN200 - 8P VITON</t>
  </si>
  <si>
    <t>DN200 - 8P</t>
  </si>
  <si>
    <t>FORGED STEEL FULL PASSAGE BALL VALVE 3PC CLASS 800LBS</t>
  </si>
  <si>
    <t>ASTM A105-AC</t>
  </si>
  <si>
    <t>800LBS</t>
  </si>
  <si>
    <t xml:space="preserve"> discount </t>
  </si>
  <si>
    <t xml:space="preserve">IN TOTAL 17130 PC - total net weight: 25996.88 kgs. - 40Plywood cases and 44 CBM </t>
  </si>
  <si>
    <t>Manufactor: same as exporter</t>
  </si>
  <si>
    <t>Country of origin, acquisiton and procedence: China</t>
  </si>
  <si>
    <t>Country of shipment: China</t>
  </si>
  <si>
    <t xml:space="preserve"> </t>
  </si>
  <si>
    <t>L0532634</t>
  </si>
  <si>
    <t>MMR2813.5204</t>
  </si>
  <si>
    <t>MMR2813.5205</t>
  </si>
  <si>
    <t>MMR2813.5206</t>
  </si>
  <si>
    <t>MMR2813.5207</t>
  </si>
  <si>
    <t>MMR2813.5208</t>
  </si>
  <si>
    <t>MMR2813.5209</t>
  </si>
  <si>
    <t>MMR3408.1012</t>
  </si>
  <si>
    <t>MMR3408.2011</t>
  </si>
  <si>
    <t>MMR3431.1011</t>
  </si>
  <si>
    <t>MMR3431.2011</t>
  </si>
  <si>
    <t>MAXIMUM PURE TEFLON 130ºC 10BAR - BODY SS304 - BOLTS / NUT / ROD SS304 - BALL SS304/WITH "LOCKABLE HANDLE"</t>
  </si>
  <si>
    <t/>
  </si>
  <si>
    <t>MAXIMUM PURE TEFLON 130ºC 10BAR - BODY SS316 - BOLTS / NUT / ROD SS304 - BALL SS316/WITH "LOCKABLE HANDLE"</t>
  </si>
  <si>
    <t>3PC TRIPARTITE BALL VALVE  - FULL PASSAGE WITH BASE ISO5211</t>
  </si>
  <si>
    <t>Detailed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</si>
</sst>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64" formatCode="\$#,##0.00;\-\$#,##0.00"/>
    <numFmt numFmtId="165" formatCode="0.00_ "/>
    <numFmt numFmtId="166" formatCode="0.000"/>
    <numFmt numFmtId="167" formatCode="[$$-409]#,##0.00"/>
    <numFmt numFmtId="168" formatCode="0.00_);[Red]\(0.00\)"/>
  </numFmts>
  <fonts count="23">
    <font>
      <sz val="11"/>
      <name val="돋움"/>
      <charset val="134"/>
    </font>
    <font>
      <sz val="10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indexed="62"/>
      <name val="Calibri"/>
      <charset val="134"/>
    </font>
    <font>
      <b/>
      <u/>
      <sz val="22"/>
      <color indexed="62"/>
      <name val="Calibri"/>
      <charset val="134"/>
    </font>
    <font>
      <b/>
      <sz val="10"/>
      <name val="Calibri"/>
      <charset val="134"/>
    </font>
    <font>
      <b/>
      <u/>
      <sz val="22"/>
      <name val="Calibri"/>
      <charset val="134"/>
    </font>
    <font>
      <b/>
      <sz val="10"/>
      <color rgb="FFFF0000"/>
      <name val="Calibri"/>
      <charset val="134"/>
    </font>
    <font>
      <sz val="10"/>
      <color indexed="10"/>
      <name val="Calibri"/>
      <charset val="134"/>
    </font>
    <font>
      <b/>
      <sz val="10"/>
      <color indexed="8"/>
      <name val="Calibri"/>
      <charset val="134"/>
    </font>
    <font>
      <b/>
      <sz val="8"/>
      <name val="Calibri"/>
      <charset val="134"/>
    </font>
    <font>
      <b/>
      <sz val="8"/>
      <color rgb="FFFF0000"/>
      <name val="Calibri"/>
      <charset val="134"/>
    </font>
    <font>
      <b/>
      <sz val="7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</font>
    <font>
      <b/>
      <sz val="8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sz val="8"/>
      <name val="Arial"/>
      <charset val="134"/>
    </font>
    <font>
      <sz val="10"/>
      <name val="Arial"/>
      <charset val="134"/>
    </font>
    <font>
      <b/>
      <sz val="8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9" fillId="0" borderId="0"/>
    <xf numFmtId="0" fontId="19" fillId="0" borderId="0"/>
    <xf numFmtId="0" fontId="20" fillId="0" borderId="0"/>
    <xf numFmtId="0" fontId="21" fillId="0" borderId="0"/>
  </cellStyleXfs>
  <cellXfs count="1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3" xfId="4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41" fontId="6" fillId="0" borderId="8" xfId="0" applyNumberFormat="1" applyFont="1" applyBorder="1" applyAlignment="1">
      <alignment vertical="center"/>
    </xf>
    <xf numFmtId="41" fontId="6" fillId="0" borderId="9" xfId="0" applyNumberFormat="1" applyFont="1" applyBorder="1" applyAlignment="1">
      <alignment vertical="center"/>
    </xf>
    <xf numFmtId="41" fontId="1" fillId="0" borderId="9" xfId="0" applyNumberFormat="1" applyFont="1" applyBorder="1" applyAlignment="1">
      <alignment horizontal="left" vertical="center"/>
    </xf>
    <xf numFmtId="41" fontId="1" fillId="0" borderId="10" xfId="0" applyNumberFormat="1" applyFont="1" applyBorder="1" applyAlignment="1">
      <alignment vertical="center"/>
    </xf>
    <xf numFmtId="41" fontId="9" fillId="0" borderId="10" xfId="0" applyNumberFormat="1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left" vertical="center"/>
    </xf>
    <xf numFmtId="165" fontId="1" fillId="0" borderId="10" xfId="0" applyNumberFormat="1" applyFont="1" applyBorder="1" applyAlignment="1">
      <alignment vertical="center"/>
    </xf>
    <xf numFmtId="41" fontId="1" fillId="0" borderId="11" xfId="0" applyNumberFormat="1" applyFont="1" applyBorder="1" applyAlignment="1">
      <alignment horizontal="center" vertical="center"/>
    </xf>
    <xf numFmtId="41" fontId="1" fillId="0" borderId="5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41" fontId="10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left" vertical="center" wrapText="1"/>
    </xf>
    <xf numFmtId="164" fontId="6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165" fontId="11" fillId="0" borderId="17" xfId="0" applyNumberFormat="1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3" fillId="0" borderId="17" xfId="0" applyNumberFormat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/>
    </xf>
    <xf numFmtId="0" fontId="13" fillId="0" borderId="17" xfId="2" applyFont="1" applyBorder="1" applyAlignment="1">
      <alignment horizontal="center"/>
    </xf>
    <xf numFmtId="164" fontId="13" fillId="0" borderId="17" xfId="0" applyNumberFormat="1" applyFont="1" applyBorder="1" applyAlignment="1">
      <alignment horizontal="left"/>
    </xf>
    <xf numFmtId="165" fontId="13" fillId="0" borderId="17" xfId="0" applyNumberFormat="1" applyFont="1" applyBorder="1" applyAlignment="1">
      <alignment horizontal="left"/>
    </xf>
    <xf numFmtId="164" fontId="13" fillId="0" borderId="17" xfId="0" applyNumberFormat="1" applyFont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vertical="center"/>
    </xf>
    <xf numFmtId="0" fontId="11" fillId="3" borderId="17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 wrapText="1"/>
    </xf>
    <xf numFmtId="165" fontId="11" fillId="3" borderId="17" xfId="0" applyNumberFormat="1" applyFont="1" applyFill="1" applyBorder="1" applyAlignment="1">
      <alignment horizontal="center" vertical="center" wrapText="1"/>
    </xf>
    <xf numFmtId="166" fontId="13" fillId="3" borderId="17" xfId="0" applyNumberFormat="1" applyFont="1" applyFill="1" applyBorder="1" applyAlignment="1">
      <alignment horizontal="center" vertical="center"/>
    </xf>
    <xf numFmtId="166" fontId="13" fillId="3" borderId="17" xfId="0" applyNumberFormat="1" applyFont="1" applyFill="1" applyBorder="1" applyAlignment="1">
      <alignment vertical="center"/>
    </xf>
    <xf numFmtId="0" fontId="13" fillId="3" borderId="17" xfId="0" applyFont="1" applyFill="1" applyBorder="1"/>
    <xf numFmtId="0" fontId="13" fillId="3" borderId="17" xfId="0" applyFont="1" applyFill="1" applyBorder="1" applyAlignment="1">
      <alignment horizontal="center"/>
    </xf>
    <xf numFmtId="0" fontId="13" fillId="3" borderId="17" xfId="2" applyFont="1" applyFill="1" applyBorder="1" applyAlignment="1">
      <alignment horizontal="center"/>
    </xf>
    <xf numFmtId="164" fontId="13" fillId="3" borderId="17" xfId="0" applyNumberFormat="1" applyFont="1" applyFill="1" applyBorder="1" applyAlignment="1">
      <alignment horizontal="center"/>
    </xf>
    <xf numFmtId="165" fontId="13" fillId="3" borderId="17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6" fillId="0" borderId="15" xfId="3" applyFont="1" applyBorder="1" applyAlignment="1">
      <alignment vertical="center" wrapText="1"/>
    </xf>
    <xf numFmtId="9" fontId="6" fillId="0" borderId="14" xfId="3" applyNumberFormat="1" applyFont="1" applyBorder="1" applyAlignment="1">
      <alignment vertical="center" wrapText="1"/>
    </xf>
    <xf numFmtId="0" fontId="6" fillId="0" borderId="20" xfId="3" applyFont="1" applyBorder="1" applyAlignment="1">
      <alignment vertical="center" wrapText="1"/>
    </xf>
    <xf numFmtId="164" fontId="13" fillId="0" borderId="21" xfId="0" applyNumberFormat="1" applyFont="1" applyBorder="1" applyAlignment="1">
      <alignment horizontal="center"/>
    </xf>
    <xf numFmtId="165" fontId="13" fillId="0" borderId="21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4" fillId="0" borderId="19" xfId="3" applyFont="1" applyBorder="1" applyAlignment="1">
      <alignment vertical="center" wrapText="1"/>
    </xf>
    <xf numFmtId="165" fontId="14" fillId="0" borderId="22" xfId="3" applyNumberFormat="1" applyFont="1" applyBorder="1" applyAlignment="1">
      <alignment vertical="center" wrapText="1"/>
    </xf>
    <xf numFmtId="164" fontId="15" fillId="0" borderId="17" xfId="3" applyNumberFormat="1" applyFont="1" applyBorder="1" applyAlignment="1">
      <alignment horizontal="center" vertical="center" wrapText="1"/>
    </xf>
    <xf numFmtId="165" fontId="16" fillId="0" borderId="17" xfId="3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14" fillId="0" borderId="0" xfId="3" applyFont="1" applyAlignment="1">
      <alignment vertical="center" wrapText="1"/>
    </xf>
    <xf numFmtId="165" fontId="14" fillId="0" borderId="0" xfId="3" applyNumberFormat="1" applyFont="1" applyAlignment="1">
      <alignment vertical="center" wrapText="1"/>
    </xf>
    <xf numFmtId="164" fontId="15" fillId="0" borderId="0" xfId="3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left" vertical="center"/>
    </xf>
    <xf numFmtId="167" fontId="18" fillId="0" borderId="0" xfId="0" applyNumberFormat="1" applyFont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horizontal="center" vertical="center"/>
    </xf>
    <xf numFmtId="168" fontId="3" fillId="0" borderId="20" xfId="0" applyNumberFormat="1" applyFont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/>
    </xf>
    <xf numFmtId="41" fontId="10" fillId="0" borderId="11" xfId="0" applyNumberFormat="1" applyFont="1" applyBorder="1" applyAlignment="1">
      <alignment horizontal="center" vertical="center"/>
    </xf>
    <xf numFmtId="41" fontId="8" fillId="0" borderId="9" xfId="0" applyNumberFormat="1" applyFont="1" applyBorder="1" applyAlignment="1">
      <alignment horizontal="left" vertical="center" wrapText="1"/>
    </xf>
    <xf numFmtId="41" fontId="8" fillId="0" borderId="10" xfId="0" applyNumberFormat="1" applyFont="1" applyBorder="1" applyAlignment="1">
      <alignment horizontal="left" vertical="center" wrapText="1"/>
    </xf>
    <xf numFmtId="41" fontId="8" fillId="0" borderId="11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3" applyFont="1" applyBorder="1" applyAlignment="1">
      <alignment horizontal="left" vertical="center" wrapText="1"/>
    </xf>
    <xf numFmtId="0" fontId="14" fillId="0" borderId="18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1" fontId="1" fillId="0" borderId="10" xfId="0" applyNumberFormat="1" applyFont="1" applyBorder="1" applyAlignment="1">
      <alignment horizontal="left" vertical="center"/>
    </xf>
    <xf numFmtId="9" fontId="6" fillId="0" borderId="15" xfId="3" applyNumberFormat="1" applyFont="1" applyBorder="1" applyAlignment="1">
      <alignment vertical="center" wrapText="1"/>
    </xf>
  </cellXfs>
  <cellStyles count="5">
    <cellStyle name="Normal" xfId="0" builtinId="0"/>
    <cellStyle name="Normal 10" xfId="1" xr:uid="{00000000-0005-0000-0000-000031000000}"/>
    <cellStyle name="Normal 2" xfId="2" xr:uid="{00000000-0005-0000-0000-000032000000}"/>
    <cellStyle name="Normal_Tot_Item" xfId="3" xr:uid="{00000000-0005-0000-0000-000033000000}"/>
    <cellStyle name="常规_Sheet1_1" xfId="4" xr:uid="{00000000-0005-0000-0000-000034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Invisible" pivot="0" table="0" count="0" xr9:uid="{9BBB7063-197D-4638-BE0E-27128BEEAE97}"/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DW148"/>
  <sheetViews>
    <sheetView showGridLines="0" showZeros="0" tabSelected="1" topLeftCell="G131" zoomScale="115" zoomScaleNormal="115" workbookViewId="0">
      <selection activeCell="M144" sqref="M144"/>
    </sheetView>
  </sheetViews>
  <sheetFormatPr defaultColWidth="9.08203125" defaultRowHeight="14.5" outlineLevelCol="1"/>
  <cols>
    <col min="1" max="1" width="3.6640625" style="3" customWidth="1"/>
    <col min="2" max="2" width="10" style="3" customWidth="1"/>
    <col min="3" max="3" width="59.1640625" style="3" hidden="1" customWidth="1" outlineLevel="1"/>
    <col min="4" max="4" width="38.6640625" style="4" customWidth="1" collapsed="1"/>
    <col min="5" max="5" width="38.6640625" style="4" customWidth="1"/>
    <col min="6" max="6" width="12.83203125" style="3" customWidth="1"/>
    <col min="7" max="7" width="7.83203125" style="3" customWidth="1"/>
    <col min="8" max="8" width="9.6640625" style="3" customWidth="1"/>
    <col min="9" max="9" width="6.4140625" style="3" customWidth="1"/>
    <col min="10" max="10" width="5.9140625" style="5" customWidth="1"/>
    <col min="11" max="11" width="8.08203125" style="6" customWidth="1"/>
    <col min="12" max="12" width="8.33203125" style="7" customWidth="1"/>
    <col min="13" max="13" width="13.58203125" style="6" customWidth="1"/>
    <col min="14" max="14" width="7.4140625" style="8" customWidth="1"/>
    <col min="15" max="15" width="7.33203125" style="9" customWidth="1"/>
    <col min="16" max="16" width="10.1640625" style="3" customWidth="1"/>
    <col min="17" max="17" width="25" style="9" hidden="1" customWidth="1" outlineLevel="1"/>
    <col min="18" max="18" width="8.9140625" style="3" customWidth="1" collapsed="1"/>
    <col min="19" max="96" width="8.9140625" style="3" customWidth="1"/>
    <col min="97" max="16350" width="9.08203125" style="3"/>
    <col min="16351" max="16351" width="9.08203125" style="10"/>
    <col min="16352" max="16384" width="9.08203125" style="3"/>
  </cols>
  <sheetData>
    <row r="1" spans="1:17" ht="75.900000000000006" customHeight="1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1"/>
    </row>
    <row r="2" spans="1:17" ht="23.15" customHeight="1">
      <c r="A2" s="122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3"/>
    </row>
    <row r="3" spans="1:17" ht="23.15" customHeight="1">
      <c r="A3" s="131" t="s">
        <v>2</v>
      </c>
      <c r="B3" s="132"/>
      <c r="C3" s="132"/>
      <c r="D3" s="132"/>
      <c r="E3" s="132"/>
      <c r="F3" s="132"/>
      <c r="G3" s="132"/>
      <c r="H3" s="16"/>
      <c r="I3" s="16"/>
      <c r="J3" s="16"/>
      <c r="K3" s="16"/>
      <c r="L3" s="12"/>
      <c r="M3" s="12"/>
      <c r="N3" s="12"/>
      <c r="O3" s="12"/>
      <c r="P3" s="12"/>
      <c r="Q3" s="13"/>
    </row>
    <row r="4" spans="1:17" ht="23.15" customHeight="1">
      <c r="A4" s="131"/>
      <c r="B4" s="132"/>
      <c r="C4" s="132"/>
      <c r="D4" s="132"/>
      <c r="E4" s="132"/>
      <c r="F4" s="132"/>
      <c r="G4" s="132"/>
      <c r="H4" s="16"/>
      <c r="I4" s="16"/>
      <c r="J4" s="16"/>
      <c r="K4" s="16"/>
      <c r="L4" s="12"/>
      <c r="M4" s="12"/>
      <c r="N4" s="12"/>
      <c r="O4" s="12"/>
      <c r="P4" s="12"/>
      <c r="Q4" s="13"/>
    </row>
    <row r="5" spans="1:17" s="1" customFormat="1" ht="28.5" customHeight="1">
      <c r="A5" s="131" t="s">
        <v>3</v>
      </c>
      <c r="B5" s="132"/>
      <c r="C5" s="132"/>
      <c r="D5" s="132"/>
      <c r="E5" s="132"/>
      <c r="F5" s="132"/>
      <c r="G5" s="132"/>
      <c r="H5" s="132"/>
      <c r="I5" s="132"/>
      <c r="J5" s="139"/>
      <c r="K5" s="132"/>
      <c r="L5" s="18"/>
      <c r="M5" s="19"/>
      <c r="N5" s="20"/>
      <c r="O5" s="17"/>
      <c r="Q5" s="21"/>
    </row>
    <row r="6" spans="1:17" s="1" customFormat="1" ht="26.25" customHeight="1">
      <c r="A6" s="131"/>
      <c r="B6" s="132"/>
      <c r="C6" s="132"/>
      <c r="D6" s="132"/>
      <c r="E6" s="132"/>
      <c r="F6" s="132"/>
      <c r="G6" s="132"/>
      <c r="H6" s="132"/>
      <c r="I6" s="132"/>
      <c r="J6" s="139"/>
      <c r="K6" s="132"/>
      <c r="L6" s="18"/>
      <c r="M6" s="22" t="s">
        <v>4</v>
      </c>
      <c r="N6" s="20"/>
      <c r="O6" s="17"/>
      <c r="Q6" s="21"/>
    </row>
    <row r="7" spans="1:17" s="1" customFormat="1" ht="18" customHeight="1">
      <c r="A7" s="131" t="s">
        <v>5</v>
      </c>
      <c r="B7" s="132"/>
      <c r="C7" s="132"/>
      <c r="D7" s="132"/>
      <c r="E7" s="132"/>
      <c r="F7" s="132"/>
      <c r="G7" s="132"/>
      <c r="H7" s="16"/>
      <c r="I7" s="16"/>
      <c r="J7" s="17"/>
      <c r="K7" s="23"/>
      <c r="L7" s="20"/>
      <c r="M7" s="22" t="s">
        <v>6</v>
      </c>
      <c r="N7" s="18"/>
      <c r="O7" s="17"/>
      <c r="Q7" s="21"/>
    </row>
    <row r="8" spans="1:17" s="1" customFormat="1" ht="15" customHeight="1">
      <c r="A8" s="131"/>
      <c r="B8" s="132"/>
      <c r="C8" s="132"/>
      <c r="D8" s="132"/>
      <c r="E8" s="132"/>
      <c r="F8" s="132"/>
      <c r="G8" s="132"/>
      <c r="H8" s="16"/>
      <c r="I8" s="16"/>
      <c r="J8" s="17"/>
      <c r="K8" s="23"/>
      <c r="L8" s="20"/>
      <c r="M8" s="24" t="s">
        <v>7</v>
      </c>
      <c r="N8" s="20"/>
      <c r="O8" s="17"/>
      <c r="Q8" s="21"/>
    </row>
    <row r="9" spans="1:17" s="1" customFormat="1" ht="24" customHeight="1">
      <c r="A9" s="131"/>
      <c r="B9" s="132"/>
      <c r="C9" s="132"/>
      <c r="D9" s="132"/>
      <c r="E9" s="132"/>
      <c r="F9" s="132"/>
      <c r="G9" s="132"/>
      <c r="H9" s="16"/>
      <c r="I9" s="16"/>
      <c r="J9" s="17"/>
      <c r="K9" s="23"/>
      <c r="L9" s="20"/>
      <c r="M9" s="23"/>
      <c r="N9" s="20"/>
      <c r="O9" s="17"/>
      <c r="Q9" s="21"/>
    </row>
    <row r="10" spans="1:17" s="1" customFormat="1" ht="37.5" customHeight="1">
      <c r="A10" s="124" t="s">
        <v>8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23"/>
      <c r="N10" s="26"/>
      <c r="O10" s="25"/>
      <c r="Q10" s="27"/>
    </row>
    <row r="11" spans="1:17" s="2" customFormat="1" ht="13">
      <c r="A11" s="28" t="s">
        <v>9</v>
      </c>
      <c r="B11" s="29"/>
      <c r="C11" s="29"/>
      <c r="D11" s="30" t="s">
        <v>10</v>
      </c>
      <c r="E11" s="140"/>
      <c r="F11" s="31"/>
      <c r="G11" s="31"/>
      <c r="H11" s="32"/>
      <c r="I11" s="32"/>
      <c r="J11" s="33" t="s">
        <v>11</v>
      </c>
      <c r="K11" s="34"/>
      <c r="L11" s="35"/>
      <c r="M11" s="35"/>
      <c r="N11" s="36"/>
      <c r="O11" s="37"/>
      <c r="Q11" s="38"/>
    </row>
    <row r="12" spans="1:17" s="2" customFormat="1" ht="13">
      <c r="A12" s="28" t="s">
        <v>12</v>
      </c>
      <c r="B12" s="29"/>
      <c r="C12" s="29"/>
      <c r="D12" s="30" t="s">
        <v>13</v>
      </c>
      <c r="E12" s="140"/>
      <c r="F12" s="31"/>
      <c r="G12" s="31"/>
      <c r="H12" s="31"/>
      <c r="I12" s="31"/>
      <c r="J12" s="33" t="s">
        <v>14</v>
      </c>
      <c r="K12" s="34"/>
      <c r="L12" s="35"/>
      <c r="M12" s="39" t="s">
        <v>15</v>
      </c>
      <c r="N12" s="36"/>
      <c r="O12" s="37"/>
      <c r="Q12" s="38"/>
    </row>
    <row r="13" spans="1:17" s="2" customFormat="1" ht="13">
      <c r="A13" s="28" t="s">
        <v>16</v>
      </c>
      <c r="B13" s="29"/>
      <c r="C13" s="29"/>
      <c r="D13" s="30" t="s">
        <v>17</v>
      </c>
      <c r="E13" s="140"/>
      <c r="F13" s="31"/>
      <c r="G13" s="31"/>
      <c r="H13" s="31"/>
      <c r="I13" s="31"/>
      <c r="J13" s="33" t="s">
        <v>18</v>
      </c>
      <c r="K13" s="34"/>
      <c r="L13" s="35"/>
      <c r="M13" s="39" t="s">
        <v>19</v>
      </c>
      <c r="N13" s="126"/>
      <c r="O13" s="127"/>
      <c r="Q13" s="40"/>
    </row>
    <row r="14" spans="1:17" s="2" customFormat="1" ht="13" customHeight="1">
      <c r="A14" s="28" t="s">
        <v>20</v>
      </c>
      <c r="B14" s="29"/>
      <c r="C14" s="29"/>
      <c r="D14" s="128" t="s">
        <v>21</v>
      </c>
      <c r="E14" s="129"/>
      <c r="F14" s="129"/>
      <c r="G14" s="129"/>
      <c r="H14" s="129"/>
      <c r="I14" s="130"/>
      <c r="J14" s="41" t="s">
        <v>22</v>
      </c>
      <c r="K14" s="42"/>
      <c r="L14" s="43"/>
      <c r="M14" s="44"/>
      <c r="N14" s="36"/>
      <c r="O14" s="37"/>
      <c r="Q14" s="38"/>
    </row>
    <row r="15" spans="1:17" s="2" customFormat="1" ht="90.9" customHeight="1">
      <c r="A15" s="133" t="s">
        <v>23</v>
      </c>
      <c r="B15" s="134"/>
      <c r="C15" s="134"/>
      <c r="D15" s="134"/>
      <c r="E15" s="134"/>
      <c r="F15" s="134"/>
      <c r="G15" s="134"/>
      <c r="H15" s="134"/>
      <c r="I15" s="134"/>
      <c r="J15" s="135"/>
      <c r="K15" s="134"/>
      <c r="L15" s="134"/>
      <c r="N15" s="15"/>
      <c r="O15" s="17"/>
      <c r="P15" s="15"/>
      <c r="Q15" s="27"/>
    </row>
    <row r="16" spans="1:17" s="2" customFormat="1" ht="20.5" customHeight="1">
      <c r="A16" s="14"/>
      <c r="B16" s="15"/>
      <c r="C16" s="15"/>
      <c r="D16" s="15"/>
      <c r="E16" s="15"/>
      <c r="F16" s="15"/>
      <c r="G16" s="15"/>
      <c r="H16" s="15"/>
      <c r="I16" s="15"/>
      <c r="J16" s="17"/>
      <c r="K16" s="15"/>
      <c r="L16" s="15"/>
      <c r="M16" s="45"/>
      <c r="N16" s="15"/>
      <c r="O16" s="17"/>
      <c r="P16" s="15"/>
      <c r="Q16" s="27"/>
    </row>
    <row r="17" spans="1:17" s="2" customFormat="1" ht="10.5" customHeight="1">
      <c r="A17" s="46"/>
      <c r="B17" s="47"/>
      <c r="C17" s="47"/>
      <c r="D17" s="47"/>
      <c r="E17" s="47"/>
      <c r="F17" s="47"/>
      <c r="G17" s="47"/>
      <c r="H17" s="47"/>
      <c r="I17" s="47"/>
      <c r="J17" s="48"/>
      <c r="K17" s="49"/>
      <c r="L17" s="50"/>
      <c r="M17" s="51" t="s">
        <v>24</v>
      </c>
      <c r="N17" s="50"/>
      <c r="O17" s="52"/>
      <c r="Q17" s="27"/>
    </row>
    <row r="18" spans="1:17" s="2" customFormat="1" ht="21">
      <c r="A18" s="53" t="s">
        <v>25</v>
      </c>
      <c r="B18" s="53" t="s">
        <v>26</v>
      </c>
      <c r="C18" s="53" t="s">
        <v>27</v>
      </c>
      <c r="D18" s="54" t="s">
        <v>28</v>
      </c>
      <c r="E18" s="54" t="s">
        <v>393</v>
      </c>
      <c r="F18" s="53" t="s">
        <v>29</v>
      </c>
      <c r="G18" s="55" t="s">
        <v>30</v>
      </c>
      <c r="H18" s="53" t="s">
        <v>31</v>
      </c>
      <c r="I18" s="55" t="s">
        <v>32</v>
      </c>
      <c r="J18" s="53" t="s">
        <v>33</v>
      </c>
      <c r="K18" s="56" t="s">
        <v>34</v>
      </c>
      <c r="L18" s="57" t="s">
        <v>35</v>
      </c>
      <c r="M18" s="56" t="s">
        <v>36</v>
      </c>
      <c r="N18" s="57" t="s">
        <v>37</v>
      </c>
      <c r="O18" s="55" t="s">
        <v>38</v>
      </c>
      <c r="P18" s="58" t="s">
        <v>39</v>
      </c>
      <c r="Q18" s="55" t="s">
        <v>40</v>
      </c>
    </row>
    <row r="19" spans="1:17" s="2" customFormat="1" ht="13">
      <c r="A19" s="53">
        <v>1</v>
      </c>
      <c r="B19" s="53" t="s">
        <v>41</v>
      </c>
      <c r="C19" s="53" t="s">
        <v>42</v>
      </c>
      <c r="D19" s="54" t="s">
        <v>43</v>
      </c>
      <c r="E19" s="54"/>
      <c r="F19" s="53" t="s">
        <v>44</v>
      </c>
      <c r="G19" s="55" t="s">
        <v>45</v>
      </c>
      <c r="H19" s="53" t="s">
        <v>46</v>
      </c>
      <c r="I19" s="55" t="s">
        <v>47</v>
      </c>
      <c r="J19" s="53">
        <v>40</v>
      </c>
      <c r="K19" s="56">
        <v>2.6486459999999998</v>
      </c>
      <c r="L19" s="57">
        <v>0.16</v>
      </c>
      <c r="M19" s="56">
        <f t="shared" ref="M19:M50" si="0">J19*K19</f>
        <v>105.94583999999999</v>
      </c>
      <c r="N19" s="57">
        <f t="shared" ref="N19:N50" si="1">J19*L19</f>
        <v>6.4</v>
      </c>
      <c r="O19" s="55">
        <v>84212100</v>
      </c>
      <c r="P19" s="58" t="s">
        <v>48</v>
      </c>
      <c r="Q19" s="59" t="s">
        <v>49</v>
      </c>
    </row>
    <row r="20" spans="1:17" s="2" customFormat="1" ht="13">
      <c r="A20" s="53">
        <v>2</v>
      </c>
      <c r="B20" s="53" t="s">
        <v>50</v>
      </c>
      <c r="C20" s="53" t="s">
        <v>51</v>
      </c>
      <c r="D20" s="54" t="s">
        <v>43</v>
      </c>
      <c r="E20" s="54"/>
      <c r="F20" s="53" t="s">
        <v>44</v>
      </c>
      <c r="G20" s="55" t="s">
        <v>45</v>
      </c>
      <c r="H20" s="53" t="s">
        <v>52</v>
      </c>
      <c r="I20" s="55" t="s">
        <v>47</v>
      </c>
      <c r="J20" s="53">
        <v>40</v>
      </c>
      <c r="K20" s="56">
        <v>3.6</v>
      </c>
      <c r="L20" s="57">
        <v>0.28999999999999998</v>
      </c>
      <c r="M20" s="56">
        <f t="shared" si="0"/>
        <v>144</v>
      </c>
      <c r="N20" s="57">
        <f t="shared" si="1"/>
        <v>11.6</v>
      </c>
      <c r="O20" s="55">
        <v>84212100</v>
      </c>
      <c r="P20" s="58" t="s">
        <v>48</v>
      </c>
      <c r="Q20" s="59" t="s">
        <v>49</v>
      </c>
    </row>
    <row r="21" spans="1:17" s="2" customFormat="1" ht="13">
      <c r="A21" s="53">
        <v>3</v>
      </c>
      <c r="B21" s="53" t="s">
        <v>53</v>
      </c>
      <c r="C21" s="53" t="s">
        <v>54</v>
      </c>
      <c r="D21" s="54" t="s">
        <v>43</v>
      </c>
      <c r="E21" s="54"/>
      <c r="F21" s="53" t="s">
        <v>44</v>
      </c>
      <c r="G21" s="55" t="s">
        <v>45</v>
      </c>
      <c r="H21" s="53" t="s">
        <v>55</v>
      </c>
      <c r="I21" s="55" t="s">
        <v>47</v>
      </c>
      <c r="J21" s="53">
        <v>50</v>
      </c>
      <c r="K21" s="56">
        <v>8.4600000000000009</v>
      </c>
      <c r="L21" s="57">
        <v>0.74</v>
      </c>
      <c r="M21" s="56">
        <f t="shared" si="0"/>
        <v>423.00000000000006</v>
      </c>
      <c r="N21" s="57">
        <f t="shared" si="1"/>
        <v>37</v>
      </c>
      <c r="O21" s="55">
        <v>84212100</v>
      </c>
      <c r="P21" s="58" t="s">
        <v>48</v>
      </c>
      <c r="Q21" s="59" t="s">
        <v>49</v>
      </c>
    </row>
    <row r="22" spans="1:17" s="2" customFormat="1" ht="13">
      <c r="A22" s="53">
        <v>4</v>
      </c>
      <c r="B22" s="53" t="s">
        <v>56</v>
      </c>
      <c r="C22" s="53" t="s">
        <v>57</v>
      </c>
      <c r="D22" s="54" t="s">
        <v>43</v>
      </c>
      <c r="E22" s="54"/>
      <c r="F22" s="53" t="s">
        <v>44</v>
      </c>
      <c r="G22" s="55" t="s">
        <v>45</v>
      </c>
      <c r="H22" s="53" t="s">
        <v>58</v>
      </c>
      <c r="I22" s="55" t="s">
        <v>47</v>
      </c>
      <c r="J22" s="53">
        <v>40</v>
      </c>
      <c r="K22" s="56">
        <v>16.8841</v>
      </c>
      <c r="L22" s="57">
        <v>1.6</v>
      </c>
      <c r="M22" s="56">
        <f t="shared" si="0"/>
        <v>675.36400000000003</v>
      </c>
      <c r="N22" s="57">
        <f t="shared" si="1"/>
        <v>64</v>
      </c>
      <c r="O22" s="55">
        <v>84212100</v>
      </c>
      <c r="P22" s="58" t="s">
        <v>48</v>
      </c>
      <c r="Q22" s="59" t="s">
        <v>49</v>
      </c>
    </row>
    <row r="23" spans="1:17" s="2" customFormat="1" ht="13">
      <c r="A23" s="53">
        <v>5</v>
      </c>
      <c r="B23" s="53" t="s">
        <v>59</v>
      </c>
      <c r="C23" s="53" t="s">
        <v>60</v>
      </c>
      <c r="D23" s="54" t="s">
        <v>43</v>
      </c>
      <c r="E23" s="54"/>
      <c r="F23" s="53" t="s">
        <v>44</v>
      </c>
      <c r="G23" s="55" t="s">
        <v>45</v>
      </c>
      <c r="H23" s="53" t="s">
        <v>61</v>
      </c>
      <c r="I23" s="55" t="s">
        <v>47</v>
      </c>
      <c r="J23" s="53">
        <v>30</v>
      </c>
      <c r="K23" s="56">
        <v>68.5</v>
      </c>
      <c r="L23" s="57">
        <v>6.5</v>
      </c>
      <c r="M23" s="56">
        <f t="shared" si="0"/>
        <v>2055</v>
      </c>
      <c r="N23" s="57">
        <f t="shared" si="1"/>
        <v>195</v>
      </c>
      <c r="O23" s="55">
        <v>84212100</v>
      </c>
      <c r="P23" s="58" t="s">
        <v>48</v>
      </c>
      <c r="Q23" s="59" t="s">
        <v>49</v>
      </c>
    </row>
    <row r="24" spans="1:17" s="2" customFormat="1" ht="13">
      <c r="A24" s="53">
        <v>6</v>
      </c>
      <c r="B24" s="53" t="s">
        <v>62</v>
      </c>
      <c r="C24" s="53" t="s">
        <v>63</v>
      </c>
      <c r="D24" s="54" t="s">
        <v>43</v>
      </c>
      <c r="E24" s="54"/>
      <c r="F24" s="53" t="s">
        <v>64</v>
      </c>
      <c r="G24" s="55" t="s">
        <v>45</v>
      </c>
      <c r="H24" s="53" t="s">
        <v>65</v>
      </c>
      <c r="I24" s="55" t="s">
        <v>47</v>
      </c>
      <c r="J24" s="53">
        <v>100</v>
      </c>
      <c r="K24" s="56">
        <v>2.2458999999999998</v>
      </c>
      <c r="L24" s="57">
        <v>0.18</v>
      </c>
      <c r="M24" s="56">
        <f t="shared" si="0"/>
        <v>224.58999999999997</v>
      </c>
      <c r="N24" s="57">
        <f t="shared" si="1"/>
        <v>18</v>
      </c>
      <c r="O24" s="55">
        <v>84212100</v>
      </c>
      <c r="P24" s="58" t="s">
        <v>66</v>
      </c>
      <c r="Q24" s="59" t="s">
        <v>49</v>
      </c>
    </row>
    <row r="25" spans="1:17" s="2" customFormat="1" ht="13">
      <c r="A25" s="53">
        <v>7</v>
      </c>
      <c r="B25" s="53" t="s">
        <v>67</v>
      </c>
      <c r="C25" s="53" t="s">
        <v>68</v>
      </c>
      <c r="D25" s="54" t="s">
        <v>43</v>
      </c>
      <c r="E25" s="54"/>
      <c r="F25" s="53" t="s">
        <v>64</v>
      </c>
      <c r="G25" s="55" t="s">
        <v>45</v>
      </c>
      <c r="H25" s="53" t="s">
        <v>58</v>
      </c>
      <c r="I25" s="55" t="s">
        <v>47</v>
      </c>
      <c r="J25" s="53">
        <v>40</v>
      </c>
      <c r="K25" s="56">
        <v>13.921900000000001</v>
      </c>
      <c r="L25" s="57">
        <v>1.6</v>
      </c>
      <c r="M25" s="56">
        <f t="shared" si="0"/>
        <v>556.87599999999998</v>
      </c>
      <c r="N25" s="57">
        <f t="shared" si="1"/>
        <v>64</v>
      </c>
      <c r="O25" s="55">
        <v>84212100</v>
      </c>
      <c r="P25" s="58" t="s">
        <v>66</v>
      </c>
      <c r="Q25" s="59" t="s">
        <v>49</v>
      </c>
    </row>
    <row r="26" spans="1:17" s="2" customFormat="1" ht="13">
      <c r="A26" s="53">
        <v>8</v>
      </c>
      <c r="B26" s="53" t="s">
        <v>69</v>
      </c>
      <c r="C26" s="53" t="s">
        <v>70</v>
      </c>
      <c r="D26" s="54" t="s">
        <v>43</v>
      </c>
      <c r="E26" s="54"/>
      <c r="F26" s="53" t="s">
        <v>64</v>
      </c>
      <c r="G26" s="55" t="s">
        <v>45</v>
      </c>
      <c r="H26" s="53" t="s">
        <v>71</v>
      </c>
      <c r="I26" s="55" t="s">
        <v>47</v>
      </c>
      <c r="J26" s="53">
        <v>10</v>
      </c>
      <c r="K26" s="56">
        <v>38.214496320000002</v>
      </c>
      <c r="L26" s="57">
        <v>4.5</v>
      </c>
      <c r="M26" s="56">
        <f t="shared" si="0"/>
        <v>382.14496320000001</v>
      </c>
      <c r="N26" s="57">
        <f t="shared" si="1"/>
        <v>45</v>
      </c>
      <c r="O26" s="55">
        <v>84212100</v>
      </c>
      <c r="P26" s="58" t="s">
        <v>66</v>
      </c>
      <c r="Q26" s="59" t="s">
        <v>49</v>
      </c>
    </row>
    <row r="27" spans="1:17" s="2" customFormat="1" ht="21">
      <c r="A27" s="53">
        <v>9</v>
      </c>
      <c r="B27" s="53" t="s">
        <v>72</v>
      </c>
      <c r="C27" s="53" t="s">
        <v>73</v>
      </c>
      <c r="D27" s="54" t="s">
        <v>74</v>
      </c>
      <c r="E27" s="54"/>
      <c r="F27" s="53" t="s">
        <v>75</v>
      </c>
      <c r="G27" s="55" t="s">
        <v>76</v>
      </c>
      <c r="H27" s="53" t="s">
        <v>58</v>
      </c>
      <c r="I27" s="55" t="s">
        <v>47</v>
      </c>
      <c r="J27" s="53">
        <v>20</v>
      </c>
      <c r="K27" s="56">
        <v>17.333587575652199</v>
      </c>
      <c r="L27" s="57">
        <v>1.38</v>
      </c>
      <c r="M27" s="56">
        <f t="shared" si="0"/>
        <v>346.671751513044</v>
      </c>
      <c r="N27" s="57">
        <f t="shared" si="1"/>
        <v>27.599999999999998</v>
      </c>
      <c r="O27" s="55">
        <v>84813000</v>
      </c>
      <c r="P27" s="58" t="s">
        <v>77</v>
      </c>
      <c r="Q27" s="59" t="s">
        <v>78</v>
      </c>
    </row>
    <row r="28" spans="1:17" s="2" customFormat="1" ht="21">
      <c r="A28" s="53">
        <v>10</v>
      </c>
      <c r="B28" s="53" t="s">
        <v>79</v>
      </c>
      <c r="C28" s="53" t="s">
        <v>80</v>
      </c>
      <c r="D28" s="54" t="s">
        <v>74</v>
      </c>
      <c r="E28" s="54"/>
      <c r="F28" s="53" t="s">
        <v>75</v>
      </c>
      <c r="G28" s="55" t="s">
        <v>76</v>
      </c>
      <c r="H28" s="53" t="s">
        <v>71</v>
      </c>
      <c r="I28" s="55" t="s">
        <v>47</v>
      </c>
      <c r="J28" s="53">
        <v>15</v>
      </c>
      <c r="K28" s="56">
        <v>64.233695217391301</v>
      </c>
      <c r="L28" s="57">
        <v>2.83</v>
      </c>
      <c r="M28" s="56">
        <f t="shared" si="0"/>
        <v>963.50542826086951</v>
      </c>
      <c r="N28" s="57">
        <f t="shared" si="1"/>
        <v>42.45</v>
      </c>
      <c r="O28" s="55">
        <v>84813000</v>
      </c>
      <c r="P28" s="58" t="s">
        <v>77</v>
      </c>
      <c r="Q28" s="59" t="s">
        <v>78</v>
      </c>
    </row>
    <row r="29" spans="1:17" s="2" customFormat="1" ht="21">
      <c r="A29" s="53">
        <v>11</v>
      </c>
      <c r="B29" s="53" t="s">
        <v>81</v>
      </c>
      <c r="C29" s="53" t="s">
        <v>82</v>
      </c>
      <c r="D29" s="54" t="s">
        <v>74</v>
      </c>
      <c r="E29" s="54"/>
      <c r="F29" s="53" t="s">
        <v>83</v>
      </c>
      <c r="G29" s="55" t="s">
        <v>76</v>
      </c>
      <c r="H29" s="53" t="s">
        <v>65</v>
      </c>
      <c r="I29" s="55" t="s">
        <v>47</v>
      </c>
      <c r="J29" s="53">
        <v>650</v>
      </c>
      <c r="K29" s="56">
        <v>3.7151000000000001</v>
      </c>
      <c r="L29" s="57">
        <v>0.25</v>
      </c>
      <c r="M29" s="56">
        <f t="shared" si="0"/>
        <v>2414.8150000000001</v>
      </c>
      <c r="N29" s="57">
        <f t="shared" si="1"/>
        <v>162.5</v>
      </c>
      <c r="O29" s="55">
        <v>84813000</v>
      </c>
      <c r="P29" s="58" t="s">
        <v>84</v>
      </c>
      <c r="Q29" s="59" t="s">
        <v>78</v>
      </c>
    </row>
    <row r="30" spans="1:17" s="2" customFormat="1" ht="21">
      <c r="A30" s="53">
        <v>12</v>
      </c>
      <c r="B30" s="53" t="s">
        <v>85</v>
      </c>
      <c r="C30" s="53" t="s">
        <v>86</v>
      </c>
      <c r="D30" s="54" t="s">
        <v>74</v>
      </c>
      <c r="E30" s="54"/>
      <c r="F30" s="53" t="s">
        <v>83</v>
      </c>
      <c r="G30" s="55" t="s">
        <v>76</v>
      </c>
      <c r="H30" s="53" t="s">
        <v>71</v>
      </c>
      <c r="I30" s="55" t="s">
        <v>47</v>
      </c>
      <c r="J30" s="53">
        <v>20</v>
      </c>
      <c r="K30" s="56">
        <v>75.333281739130399</v>
      </c>
      <c r="L30" s="57">
        <v>2.83</v>
      </c>
      <c r="M30" s="56">
        <f t="shared" si="0"/>
        <v>1506.6656347826079</v>
      </c>
      <c r="N30" s="57">
        <f t="shared" si="1"/>
        <v>56.6</v>
      </c>
      <c r="O30" s="55">
        <v>84813000</v>
      </c>
      <c r="P30" s="58" t="s">
        <v>84</v>
      </c>
      <c r="Q30" s="59" t="s">
        <v>78</v>
      </c>
    </row>
    <row r="31" spans="1:17" s="2" customFormat="1" ht="21">
      <c r="A31" s="53">
        <v>13</v>
      </c>
      <c r="B31" s="53" t="s">
        <v>87</v>
      </c>
      <c r="C31" s="53" t="s">
        <v>88</v>
      </c>
      <c r="D31" s="54" t="s">
        <v>89</v>
      </c>
      <c r="E31" s="54"/>
      <c r="F31" s="53" t="s">
        <v>75</v>
      </c>
      <c r="G31" s="55" t="s">
        <v>76</v>
      </c>
      <c r="H31" s="53" t="s">
        <v>71</v>
      </c>
      <c r="I31" s="55" t="s">
        <v>47</v>
      </c>
      <c r="J31" s="53">
        <v>5</v>
      </c>
      <c r="K31" s="56">
        <v>70.552292086956498</v>
      </c>
      <c r="L31" s="57">
        <v>3.58</v>
      </c>
      <c r="M31" s="56">
        <f t="shared" si="0"/>
        <v>352.76146043478252</v>
      </c>
      <c r="N31" s="57">
        <f t="shared" si="1"/>
        <v>17.899999999999999</v>
      </c>
      <c r="O31" s="55">
        <v>84818094</v>
      </c>
      <c r="P31" s="58" t="s">
        <v>90</v>
      </c>
      <c r="Q31" s="59" t="s">
        <v>78</v>
      </c>
    </row>
    <row r="32" spans="1:17" s="2" customFormat="1" ht="21">
      <c r="A32" s="53">
        <v>14</v>
      </c>
      <c r="B32" s="53" t="s">
        <v>91</v>
      </c>
      <c r="C32" s="53" t="s">
        <v>92</v>
      </c>
      <c r="D32" s="54" t="s">
        <v>89</v>
      </c>
      <c r="E32" s="54"/>
      <c r="F32" s="53" t="s">
        <v>83</v>
      </c>
      <c r="G32" s="55" t="s">
        <v>76</v>
      </c>
      <c r="H32" s="53" t="s">
        <v>65</v>
      </c>
      <c r="I32" s="55" t="s">
        <v>47</v>
      </c>
      <c r="J32" s="53">
        <v>120</v>
      </c>
      <c r="K32" s="56">
        <v>4.6458786286956499</v>
      </c>
      <c r="L32" s="57">
        <v>0.34</v>
      </c>
      <c r="M32" s="56">
        <f t="shared" si="0"/>
        <v>557.50543544347795</v>
      </c>
      <c r="N32" s="57">
        <f t="shared" si="1"/>
        <v>40.800000000000004</v>
      </c>
      <c r="O32" s="55">
        <v>84818094</v>
      </c>
      <c r="P32" s="58" t="s">
        <v>93</v>
      </c>
      <c r="Q32" s="59" t="s">
        <v>78</v>
      </c>
    </row>
    <row r="33" spans="1:17" s="2" customFormat="1" ht="21">
      <c r="A33" s="53">
        <v>15</v>
      </c>
      <c r="B33" s="53" t="s">
        <v>94</v>
      </c>
      <c r="C33" s="53" t="s">
        <v>95</v>
      </c>
      <c r="D33" s="54" t="s">
        <v>89</v>
      </c>
      <c r="E33" s="54"/>
      <c r="F33" s="53" t="s">
        <v>83</v>
      </c>
      <c r="G33" s="55" t="s">
        <v>76</v>
      </c>
      <c r="H33" s="53" t="s">
        <v>52</v>
      </c>
      <c r="I33" s="55" t="s">
        <v>47</v>
      </c>
      <c r="J33" s="53">
        <v>20</v>
      </c>
      <c r="K33" s="56">
        <v>5.91909318</v>
      </c>
      <c r="L33" s="57">
        <v>0.45</v>
      </c>
      <c r="M33" s="56">
        <f t="shared" si="0"/>
        <v>118.3818636</v>
      </c>
      <c r="N33" s="57">
        <f t="shared" si="1"/>
        <v>9</v>
      </c>
      <c r="O33" s="55">
        <v>84818094</v>
      </c>
      <c r="P33" s="58" t="s">
        <v>93</v>
      </c>
      <c r="Q33" s="59" t="s">
        <v>78</v>
      </c>
    </row>
    <row r="34" spans="1:17" s="2" customFormat="1" ht="21">
      <c r="A34" s="53">
        <v>16</v>
      </c>
      <c r="B34" s="53" t="s">
        <v>96</v>
      </c>
      <c r="C34" s="53" t="s">
        <v>97</v>
      </c>
      <c r="D34" s="54" t="s">
        <v>98</v>
      </c>
      <c r="E34" s="54"/>
      <c r="F34" s="53" t="s">
        <v>75</v>
      </c>
      <c r="G34" s="55" t="s">
        <v>76</v>
      </c>
      <c r="H34" s="53" t="s">
        <v>58</v>
      </c>
      <c r="I34" s="55" t="s">
        <v>47</v>
      </c>
      <c r="J34" s="53">
        <v>30</v>
      </c>
      <c r="K34" s="56">
        <v>22.778300000000002</v>
      </c>
      <c r="L34" s="57">
        <v>2.35</v>
      </c>
      <c r="M34" s="56">
        <f t="shared" si="0"/>
        <v>683.34900000000005</v>
      </c>
      <c r="N34" s="57">
        <f t="shared" si="1"/>
        <v>70.5</v>
      </c>
      <c r="O34" s="55">
        <v>84818093</v>
      </c>
      <c r="P34" s="58" t="s">
        <v>99</v>
      </c>
      <c r="Q34" s="59" t="s">
        <v>78</v>
      </c>
    </row>
    <row r="35" spans="1:17" s="2" customFormat="1" ht="21">
      <c r="A35" s="53">
        <v>17</v>
      </c>
      <c r="B35" s="53" t="s">
        <v>100</v>
      </c>
      <c r="C35" s="53" t="s">
        <v>101</v>
      </c>
      <c r="D35" s="54" t="s">
        <v>102</v>
      </c>
      <c r="E35" s="54"/>
      <c r="F35" s="53" t="s">
        <v>103</v>
      </c>
      <c r="G35" s="55" t="s">
        <v>104</v>
      </c>
      <c r="H35" s="53" t="s">
        <v>52</v>
      </c>
      <c r="I35" s="55" t="s">
        <v>47</v>
      </c>
      <c r="J35" s="53">
        <v>90</v>
      </c>
      <c r="K35" s="56">
        <v>3.69</v>
      </c>
      <c r="L35" s="57">
        <v>0.23</v>
      </c>
      <c r="M35" s="56">
        <f t="shared" si="0"/>
        <v>332.1</v>
      </c>
      <c r="N35" s="57">
        <f t="shared" si="1"/>
        <v>20.7</v>
      </c>
      <c r="O35" s="55">
        <v>84813000</v>
      </c>
      <c r="P35" s="58" t="s">
        <v>105</v>
      </c>
      <c r="Q35" s="59" t="s">
        <v>78</v>
      </c>
    </row>
    <row r="36" spans="1:17" s="2" customFormat="1" ht="21">
      <c r="A36" s="53">
        <v>18</v>
      </c>
      <c r="B36" s="53" t="s">
        <v>106</v>
      </c>
      <c r="C36" s="53" t="s">
        <v>107</v>
      </c>
      <c r="D36" s="54" t="s">
        <v>102</v>
      </c>
      <c r="E36" s="54"/>
      <c r="F36" s="53" t="s">
        <v>103</v>
      </c>
      <c r="G36" s="55" t="s">
        <v>104</v>
      </c>
      <c r="H36" s="53" t="s">
        <v>108</v>
      </c>
      <c r="I36" s="55" t="s">
        <v>47</v>
      </c>
      <c r="J36" s="53">
        <v>90</v>
      </c>
      <c r="K36" s="56">
        <v>5.2323462495652198</v>
      </c>
      <c r="L36" s="57">
        <v>0.39</v>
      </c>
      <c r="M36" s="56">
        <f t="shared" si="0"/>
        <v>470.91116246086978</v>
      </c>
      <c r="N36" s="57">
        <f t="shared" si="1"/>
        <v>35.1</v>
      </c>
      <c r="O36" s="55">
        <v>84813000</v>
      </c>
      <c r="P36" s="58" t="s">
        <v>105</v>
      </c>
      <c r="Q36" s="59" t="s">
        <v>78</v>
      </c>
    </row>
    <row r="37" spans="1:17" s="2" customFormat="1" ht="21">
      <c r="A37" s="53">
        <v>19</v>
      </c>
      <c r="B37" s="53" t="s">
        <v>109</v>
      </c>
      <c r="C37" s="53" t="s">
        <v>110</v>
      </c>
      <c r="D37" s="54" t="s">
        <v>102</v>
      </c>
      <c r="E37" s="54"/>
      <c r="F37" s="53" t="s">
        <v>103</v>
      </c>
      <c r="G37" s="55" t="s">
        <v>104</v>
      </c>
      <c r="H37" s="53" t="s">
        <v>55</v>
      </c>
      <c r="I37" s="55" t="s">
        <v>47</v>
      </c>
      <c r="J37" s="53">
        <v>45</v>
      </c>
      <c r="K37" s="56">
        <v>7.6157145412173897</v>
      </c>
      <c r="L37" s="57">
        <v>0.56999999999999995</v>
      </c>
      <c r="M37" s="56">
        <f t="shared" si="0"/>
        <v>342.70715435478252</v>
      </c>
      <c r="N37" s="57">
        <f t="shared" si="1"/>
        <v>25.65</v>
      </c>
      <c r="O37" s="55">
        <v>84813000</v>
      </c>
      <c r="P37" s="58" t="s">
        <v>105</v>
      </c>
      <c r="Q37" s="59" t="s">
        <v>78</v>
      </c>
    </row>
    <row r="38" spans="1:17" s="2" customFormat="1" ht="21">
      <c r="A38" s="53">
        <v>20</v>
      </c>
      <c r="B38" s="53" t="s">
        <v>111</v>
      </c>
      <c r="C38" s="53" t="s">
        <v>112</v>
      </c>
      <c r="D38" s="54" t="s">
        <v>102</v>
      </c>
      <c r="E38" s="54"/>
      <c r="F38" s="53" t="s">
        <v>103</v>
      </c>
      <c r="G38" s="55" t="s">
        <v>104</v>
      </c>
      <c r="H38" s="53" t="s">
        <v>113</v>
      </c>
      <c r="I38" s="55" t="s">
        <v>47</v>
      </c>
      <c r="J38" s="53">
        <v>45</v>
      </c>
      <c r="K38" s="56">
        <v>11.37</v>
      </c>
      <c r="L38" s="57">
        <v>0.83</v>
      </c>
      <c r="M38" s="56">
        <f t="shared" si="0"/>
        <v>511.65</v>
      </c>
      <c r="N38" s="57">
        <f t="shared" si="1"/>
        <v>37.35</v>
      </c>
      <c r="O38" s="55">
        <v>84813000</v>
      </c>
      <c r="P38" s="58" t="s">
        <v>105</v>
      </c>
      <c r="Q38" s="59" t="s">
        <v>78</v>
      </c>
    </row>
    <row r="39" spans="1:17" s="2" customFormat="1" ht="21">
      <c r="A39" s="53">
        <v>21</v>
      </c>
      <c r="B39" s="53" t="s">
        <v>114</v>
      </c>
      <c r="C39" s="53" t="s">
        <v>115</v>
      </c>
      <c r="D39" s="54" t="s">
        <v>102</v>
      </c>
      <c r="E39" s="54"/>
      <c r="F39" s="53" t="s">
        <v>103</v>
      </c>
      <c r="G39" s="55" t="s">
        <v>104</v>
      </c>
      <c r="H39" s="53" t="s">
        <v>58</v>
      </c>
      <c r="I39" s="55" t="s">
        <v>47</v>
      </c>
      <c r="J39" s="53">
        <v>45</v>
      </c>
      <c r="K39" s="56">
        <v>14.846500000000001</v>
      </c>
      <c r="L39" s="57">
        <v>1.24</v>
      </c>
      <c r="M39" s="56">
        <f t="shared" si="0"/>
        <v>668.09250000000009</v>
      </c>
      <c r="N39" s="57">
        <f t="shared" si="1"/>
        <v>55.8</v>
      </c>
      <c r="O39" s="55">
        <v>84813000</v>
      </c>
      <c r="P39" s="58" t="s">
        <v>105</v>
      </c>
      <c r="Q39" s="59" t="s">
        <v>78</v>
      </c>
    </row>
    <row r="40" spans="1:17" s="2" customFormat="1" ht="21">
      <c r="A40" s="53">
        <v>22</v>
      </c>
      <c r="B40" s="53" t="s">
        <v>116</v>
      </c>
      <c r="C40" s="53" t="s">
        <v>117</v>
      </c>
      <c r="D40" s="54" t="s">
        <v>102</v>
      </c>
      <c r="E40" s="54"/>
      <c r="F40" s="53" t="s">
        <v>83</v>
      </c>
      <c r="G40" s="55" t="s">
        <v>104</v>
      </c>
      <c r="H40" s="53" t="s">
        <v>65</v>
      </c>
      <c r="I40" s="55" t="s">
        <v>47</v>
      </c>
      <c r="J40" s="53">
        <v>90</v>
      </c>
      <c r="K40" s="56">
        <v>2.9979236243478198</v>
      </c>
      <c r="L40" s="57">
        <v>0.15</v>
      </c>
      <c r="M40" s="56">
        <f t="shared" si="0"/>
        <v>269.81312619130381</v>
      </c>
      <c r="N40" s="57">
        <f t="shared" si="1"/>
        <v>13.5</v>
      </c>
      <c r="O40" s="55">
        <v>84813000</v>
      </c>
      <c r="P40" s="58" t="s">
        <v>118</v>
      </c>
      <c r="Q40" s="59" t="s">
        <v>78</v>
      </c>
    </row>
    <row r="41" spans="1:17" s="2" customFormat="1" ht="21">
      <c r="A41" s="53">
        <v>23</v>
      </c>
      <c r="B41" s="53" t="s">
        <v>119</v>
      </c>
      <c r="C41" s="53" t="s">
        <v>120</v>
      </c>
      <c r="D41" s="54" t="s">
        <v>102</v>
      </c>
      <c r="E41" s="54"/>
      <c r="F41" s="53" t="s">
        <v>83</v>
      </c>
      <c r="G41" s="55" t="s">
        <v>104</v>
      </c>
      <c r="H41" s="53" t="s">
        <v>108</v>
      </c>
      <c r="I41" s="55" t="s">
        <v>47</v>
      </c>
      <c r="J41" s="53">
        <v>100</v>
      </c>
      <c r="K41" s="56">
        <v>6.0590564817391304</v>
      </c>
      <c r="L41" s="57">
        <v>0.39</v>
      </c>
      <c r="M41" s="56">
        <f t="shared" si="0"/>
        <v>605.90564817391305</v>
      </c>
      <c r="N41" s="57">
        <f t="shared" si="1"/>
        <v>39</v>
      </c>
      <c r="O41" s="55">
        <v>84813000</v>
      </c>
      <c r="P41" s="58" t="s">
        <v>118</v>
      </c>
      <c r="Q41" s="59" t="s">
        <v>78</v>
      </c>
    </row>
    <row r="42" spans="1:17" s="2" customFormat="1" ht="21">
      <c r="A42" s="53">
        <v>24</v>
      </c>
      <c r="B42" s="53" t="s">
        <v>121</v>
      </c>
      <c r="C42" s="53" t="s">
        <v>122</v>
      </c>
      <c r="D42" s="54" t="s">
        <v>123</v>
      </c>
      <c r="E42" s="54"/>
      <c r="F42" s="53" t="s">
        <v>103</v>
      </c>
      <c r="G42" s="55" t="s">
        <v>124</v>
      </c>
      <c r="H42" s="53" t="s">
        <v>125</v>
      </c>
      <c r="I42" s="55" t="s">
        <v>47</v>
      </c>
      <c r="J42" s="53">
        <v>140</v>
      </c>
      <c r="K42" s="56">
        <v>2.85</v>
      </c>
      <c r="L42" s="57">
        <v>0.1</v>
      </c>
      <c r="M42" s="56">
        <f t="shared" si="0"/>
        <v>399</v>
      </c>
      <c r="N42" s="57">
        <f t="shared" si="1"/>
        <v>14</v>
      </c>
      <c r="O42" s="55">
        <v>84818095</v>
      </c>
      <c r="P42" s="58" t="s">
        <v>126</v>
      </c>
      <c r="Q42" s="59" t="s">
        <v>127</v>
      </c>
    </row>
    <row r="43" spans="1:17" s="2" customFormat="1" ht="73.5">
      <c r="A43" s="53">
        <v>25</v>
      </c>
      <c r="B43" s="53" t="s">
        <v>128</v>
      </c>
      <c r="C43" s="53" t="s">
        <v>129</v>
      </c>
      <c r="D43" s="54" t="s">
        <v>130</v>
      </c>
      <c r="E43" s="54"/>
      <c r="F43" s="53" t="s">
        <v>103</v>
      </c>
      <c r="G43" s="55" t="s">
        <v>124</v>
      </c>
      <c r="H43" s="53" t="s">
        <v>52</v>
      </c>
      <c r="I43" s="55" t="s">
        <v>131</v>
      </c>
      <c r="J43" s="53">
        <v>50</v>
      </c>
      <c r="K43" s="56">
        <v>4</v>
      </c>
      <c r="L43" s="57">
        <v>0.22</v>
      </c>
      <c r="M43" s="56">
        <f t="shared" si="0"/>
        <v>200</v>
      </c>
      <c r="N43" s="57">
        <f t="shared" si="1"/>
        <v>11</v>
      </c>
      <c r="O43" s="55">
        <v>84818095</v>
      </c>
      <c r="P43" s="58" t="s">
        <v>132</v>
      </c>
      <c r="Q43" s="59" t="s">
        <v>127</v>
      </c>
    </row>
    <row r="44" spans="1:17" s="2" customFormat="1" ht="21">
      <c r="A44" s="53">
        <v>26</v>
      </c>
      <c r="B44" s="53" t="s">
        <v>133</v>
      </c>
      <c r="C44" s="53" t="s">
        <v>134</v>
      </c>
      <c r="D44" s="54" t="s">
        <v>135</v>
      </c>
      <c r="E44" s="54"/>
      <c r="F44" s="53" t="s">
        <v>103</v>
      </c>
      <c r="G44" s="55" t="s">
        <v>136</v>
      </c>
      <c r="H44" s="53" t="s">
        <v>108</v>
      </c>
      <c r="I44" s="55" t="s">
        <v>47</v>
      </c>
      <c r="J44" s="53">
        <v>170</v>
      </c>
      <c r="K44" s="56">
        <v>7.0995210000000002</v>
      </c>
      <c r="L44" s="57">
        <v>0.78</v>
      </c>
      <c r="M44" s="56">
        <f t="shared" si="0"/>
        <v>1206.91857</v>
      </c>
      <c r="N44" s="57">
        <f t="shared" si="1"/>
        <v>132.6</v>
      </c>
      <c r="O44" s="55">
        <v>84818095</v>
      </c>
      <c r="P44" s="58" t="s">
        <v>137</v>
      </c>
      <c r="Q44" s="59" t="s">
        <v>127</v>
      </c>
    </row>
    <row r="45" spans="1:17" s="2" customFormat="1" ht="21">
      <c r="A45" s="53">
        <v>27</v>
      </c>
      <c r="B45" s="53" t="s">
        <v>138</v>
      </c>
      <c r="C45" s="53" t="s">
        <v>139</v>
      </c>
      <c r="D45" s="54" t="s">
        <v>135</v>
      </c>
      <c r="E45" s="54"/>
      <c r="F45" s="53" t="s">
        <v>103</v>
      </c>
      <c r="G45" s="55" t="s">
        <v>136</v>
      </c>
      <c r="H45" s="53" t="s">
        <v>58</v>
      </c>
      <c r="I45" s="55" t="s">
        <v>47</v>
      </c>
      <c r="J45" s="53">
        <v>300</v>
      </c>
      <c r="K45" s="56">
        <v>21.917999999999999</v>
      </c>
      <c r="L45" s="57">
        <v>2.58</v>
      </c>
      <c r="M45" s="56">
        <f t="shared" si="0"/>
        <v>6575.4</v>
      </c>
      <c r="N45" s="57">
        <f t="shared" si="1"/>
        <v>774</v>
      </c>
      <c r="O45" s="55">
        <v>84818095</v>
      </c>
      <c r="P45" s="58" t="s">
        <v>137</v>
      </c>
      <c r="Q45" s="59" t="s">
        <v>127</v>
      </c>
    </row>
    <row r="46" spans="1:17" s="2" customFormat="1" ht="26.4" customHeight="1">
      <c r="A46" s="53">
        <v>28</v>
      </c>
      <c r="B46" s="53" t="s">
        <v>140</v>
      </c>
      <c r="C46" s="53" t="s">
        <v>141</v>
      </c>
      <c r="D46" s="54" t="s">
        <v>135</v>
      </c>
      <c r="E46" s="54"/>
      <c r="F46" s="53" t="s">
        <v>103</v>
      </c>
      <c r="G46" s="55" t="s">
        <v>136</v>
      </c>
      <c r="H46" s="53" t="s">
        <v>61</v>
      </c>
      <c r="I46" s="55" t="s">
        <v>47</v>
      </c>
      <c r="J46" s="53">
        <v>46</v>
      </c>
      <c r="K46" s="56">
        <v>106.67009925000001</v>
      </c>
      <c r="L46" s="57">
        <v>13.02</v>
      </c>
      <c r="M46" s="56">
        <f t="shared" si="0"/>
        <v>4906.8245655000001</v>
      </c>
      <c r="N46" s="57">
        <f t="shared" si="1"/>
        <v>598.91999999999996</v>
      </c>
      <c r="O46" s="55">
        <v>84818095</v>
      </c>
      <c r="P46" s="58" t="s">
        <v>137</v>
      </c>
      <c r="Q46" s="59" t="s">
        <v>127</v>
      </c>
    </row>
    <row r="47" spans="1:17" s="2" customFormat="1" ht="42">
      <c r="A47" s="53">
        <v>29</v>
      </c>
      <c r="B47" s="53" t="s">
        <v>142</v>
      </c>
      <c r="C47" s="53" t="s">
        <v>143</v>
      </c>
      <c r="D47" s="54" t="s">
        <v>144</v>
      </c>
      <c r="E47" s="54"/>
      <c r="F47" s="53" t="s">
        <v>103</v>
      </c>
      <c r="G47" s="55" t="s">
        <v>136</v>
      </c>
      <c r="H47" s="53" t="s">
        <v>65</v>
      </c>
      <c r="I47" s="55" t="s">
        <v>145</v>
      </c>
      <c r="J47" s="53">
        <v>80</v>
      </c>
      <c r="K47" s="56">
        <v>4.08</v>
      </c>
      <c r="L47" s="57">
        <v>0.42</v>
      </c>
      <c r="M47" s="56">
        <f t="shared" si="0"/>
        <v>326.39999999999998</v>
      </c>
      <c r="N47" s="57">
        <f t="shared" si="1"/>
        <v>33.6</v>
      </c>
      <c r="O47" s="55">
        <v>84818095</v>
      </c>
      <c r="P47" s="58" t="s">
        <v>137</v>
      </c>
      <c r="Q47" s="59" t="s">
        <v>127</v>
      </c>
    </row>
    <row r="48" spans="1:17" s="2" customFormat="1" ht="42">
      <c r="A48" s="53">
        <v>30</v>
      </c>
      <c r="B48" s="53" t="s">
        <v>146</v>
      </c>
      <c r="C48" s="53" t="s">
        <v>147</v>
      </c>
      <c r="D48" s="54" t="s">
        <v>144</v>
      </c>
      <c r="E48" s="54"/>
      <c r="F48" s="53" t="s">
        <v>103</v>
      </c>
      <c r="G48" s="55" t="s">
        <v>136</v>
      </c>
      <c r="H48" s="53" t="s">
        <v>52</v>
      </c>
      <c r="I48" s="55" t="s">
        <v>145</v>
      </c>
      <c r="J48" s="53">
        <v>100</v>
      </c>
      <c r="K48" s="56">
        <v>5.53</v>
      </c>
      <c r="L48" s="57">
        <v>0.61</v>
      </c>
      <c r="M48" s="56">
        <f t="shared" si="0"/>
        <v>553</v>
      </c>
      <c r="N48" s="57">
        <f t="shared" si="1"/>
        <v>61</v>
      </c>
      <c r="O48" s="55">
        <v>84818095</v>
      </c>
      <c r="P48" s="58" t="s">
        <v>137</v>
      </c>
      <c r="Q48" s="59" t="s">
        <v>127</v>
      </c>
    </row>
    <row r="49" spans="1:17" s="2" customFormat="1" ht="42">
      <c r="A49" s="53">
        <v>31</v>
      </c>
      <c r="B49" s="53" t="s">
        <v>148</v>
      </c>
      <c r="C49" s="53" t="s">
        <v>149</v>
      </c>
      <c r="D49" s="54" t="s">
        <v>144</v>
      </c>
      <c r="E49" s="54"/>
      <c r="F49" s="53" t="s">
        <v>103</v>
      </c>
      <c r="G49" s="55" t="s">
        <v>136</v>
      </c>
      <c r="H49" s="53" t="s">
        <v>108</v>
      </c>
      <c r="I49" s="55" t="s">
        <v>145</v>
      </c>
      <c r="J49" s="53">
        <v>300</v>
      </c>
      <c r="K49" s="56">
        <v>7.17</v>
      </c>
      <c r="L49" s="57">
        <v>0.78</v>
      </c>
      <c r="M49" s="56">
        <f t="shared" si="0"/>
        <v>2151</v>
      </c>
      <c r="N49" s="57">
        <f t="shared" si="1"/>
        <v>234</v>
      </c>
      <c r="O49" s="55">
        <v>84818095</v>
      </c>
      <c r="P49" s="58" t="s">
        <v>137</v>
      </c>
      <c r="Q49" s="59" t="s">
        <v>127</v>
      </c>
    </row>
    <row r="50" spans="1:17" s="2" customFormat="1" ht="42">
      <c r="A50" s="53">
        <v>32</v>
      </c>
      <c r="B50" s="53" t="s">
        <v>150</v>
      </c>
      <c r="C50" s="53" t="s">
        <v>151</v>
      </c>
      <c r="D50" s="54" t="s">
        <v>144</v>
      </c>
      <c r="E50" s="54"/>
      <c r="F50" s="53" t="s">
        <v>103</v>
      </c>
      <c r="G50" s="55" t="s">
        <v>136</v>
      </c>
      <c r="H50" s="53" t="s">
        <v>58</v>
      </c>
      <c r="I50" s="55" t="s">
        <v>145</v>
      </c>
      <c r="J50" s="53">
        <v>130</v>
      </c>
      <c r="K50" s="56">
        <v>23.21</v>
      </c>
      <c r="L50" s="57">
        <v>2.58</v>
      </c>
      <c r="M50" s="56">
        <f t="shared" si="0"/>
        <v>3017.3</v>
      </c>
      <c r="N50" s="57">
        <f t="shared" si="1"/>
        <v>335.40000000000003</v>
      </c>
      <c r="O50" s="55">
        <v>84818095</v>
      </c>
      <c r="P50" s="58" t="s">
        <v>137</v>
      </c>
      <c r="Q50" s="59" t="s">
        <v>127</v>
      </c>
    </row>
    <row r="51" spans="1:17" s="2" customFormat="1" ht="42">
      <c r="A51" s="53">
        <v>33</v>
      </c>
      <c r="B51" s="53" t="s">
        <v>152</v>
      </c>
      <c r="C51" s="53" t="s">
        <v>153</v>
      </c>
      <c r="D51" s="54" t="s">
        <v>144</v>
      </c>
      <c r="E51" s="54"/>
      <c r="F51" s="53" t="s">
        <v>103</v>
      </c>
      <c r="G51" s="55" t="s">
        <v>136</v>
      </c>
      <c r="H51" s="53" t="s">
        <v>154</v>
      </c>
      <c r="I51" s="55" t="s">
        <v>145</v>
      </c>
      <c r="J51" s="53">
        <v>15</v>
      </c>
      <c r="K51" s="56">
        <v>44.26</v>
      </c>
      <c r="L51" s="57">
        <v>4.9800000000000004</v>
      </c>
      <c r="M51" s="56">
        <f t="shared" ref="M51:M80" si="2">J51*K51</f>
        <v>663.9</v>
      </c>
      <c r="N51" s="57">
        <f t="shared" ref="N51:N80" si="3">J51*L51</f>
        <v>74.7</v>
      </c>
      <c r="O51" s="55">
        <v>84818095</v>
      </c>
      <c r="P51" s="58" t="s">
        <v>137</v>
      </c>
      <c r="Q51" s="59" t="s">
        <v>127</v>
      </c>
    </row>
    <row r="52" spans="1:17" s="2" customFormat="1" ht="42">
      <c r="A52" s="53">
        <v>34</v>
      </c>
      <c r="B52" s="53" t="s">
        <v>155</v>
      </c>
      <c r="C52" s="53" t="s">
        <v>156</v>
      </c>
      <c r="D52" s="54" t="s">
        <v>144</v>
      </c>
      <c r="E52" s="54"/>
      <c r="F52" s="53" t="s">
        <v>103</v>
      </c>
      <c r="G52" s="55" t="s">
        <v>136</v>
      </c>
      <c r="H52" s="53" t="s">
        <v>61</v>
      </c>
      <c r="I52" s="55" t="s">
        <v>145</v>
      </c>
      <c r="J52" s="53">
        <v>25</v>
      </c>
      <c r="K52" s="56">
        <v>107.745454545455</v>
      </c>
      <c r="L52" s="57">
        <v>13.02</v>
      </c>
      <c r="M52" s="56">
        <f t="shared" si="2"/>
        <v>2693.6363636363749</v>
      </c>
      <c r="N52" s="57">
        <f t="shared" si="3"/>
        <v>325.5</v>
      </c>
      <c r="O52" s="55">
        <v>84818095</v>
      </c>
      <c r="P52" s="58" t="s">
        <v>137</v>
      </c>
      <c r="Q52" s="59" t="s">
        <v>127</v>
      </c>
    </row>
    <row r="53" spans="1:17" s="2" customFormat="1" ht="21">
      <c r="A53" s="53">
        <v>35</v>
      </c>
      <c r="B53" s="53" t="s">
        <v>157</v>
      </c>
      <c r="C53" s="53" t="s">
        <v>158</v>
      </c>
      <c r="D53" s="54" t="s">
        <v>135</v>
      </c>
      <c r="E53" s="54"/>
      <c r="F53" s="53" t="s">
        <v>83</v>
      </c>
      <c r="G53" s="55" t="s">
        <v>136</v>
      </c>
      <c r="H53" s="53" t="s">
        <v>108</v>
      </c>
      <c r="I53" s="55" t="s">
        <v>47</v>
      </c>
      <c r="J53" s="53">
        <v>100</v>
      </c>
      <c r="K53" s="56">
        <v>8.5</v>
      </c>
      <c r="L53" s="57">
        <v>0.78</v>
      </c>
      <c r="M53" s="56">
        <f t="shared" si="2"/>
        <v>850</v>
      </c>
      <c r="N53" s="57">
        <f t="shared" si="3"/>
        <v>78</v>
      </c>
      <c r="O53" s="55">
        <v>84818095</v>
      </c>
      <c r="P53" s="58" t="s">
        <v>159</v>
      </c>
      <c r="Q53" s="59" t="s">
        <v>127</v>
      </c>
    </row>
    <row r="54" spans="1:17" s="2" customFormat="1" ht="21">
      <c r="A54" s="53">
        <v>36</v>
      </c>
      <c r="B54" s="53" t="s">
        <v>160</v>
      </c>
      <c r="C54" s="53" t="s">
        <v>161</v>
      </c>
      <c r="D54" s="54" t="s">
        <v>135</v>
      </c>
      <c r="E54" s="54"/>
      <c r="F54" s="53" t="s">
        <v>83</v>
      </c>
      <c r="G54" s="55" t="s">
        <v>136</v>
      </c>
      <c r="H54" s="53" t="s">
        <v>58</v>
      </c>
      <c r="I54" s="55" t="s">
        <v>47</v>
      </c>
      <c r="J54" s="53">
        <v>105</v>
      </c>
      <c r="K54" s="56">
        <v>27.803061</v>
      </c>
      <c r="L54" s="57">
        <v>2.58</v>
      </c>
      <c r="M54" s="56">
        <f t="shared" si="2"/>
        <v>2919.3214050000001</v>
      </c>
      <c r="N54" s="57">
        <f t="shared" si="3"/>
        <v>270.90000000000003</v>
      </c>
      <c r="O54" s="55">
        <v>84818095</v>
      </c>
      <c r="P54" s="58" t="s">
        <v>159</v>
      </c>
      <c r="Q54" s="59" t="s">
        <v>127</v>
      </c>
    </row>
    <row r="55" spans="1:17" s="2" customFormat="1" ht="21">
      <c r="A55" s="53">
        <v>37</v>
      </c>
      <c r="B55" s="53" t="s">
        <v>162</v>
      </c>
      <c r="C55" s="53" t="s">
        <v>163</v>
      </c>
      <c r="D55" s="54" t="s">
        <v>135</v>
      </c>
      <c r="E55" s="54"/>
      <c r="F55" s="53" t="s">
        <v>83</v>
      </c>
      <c r="G55" s="55" t="s">
        <v>136</v>
      </c>
      <c r="H55" s="53" t="s">
        <v>154</v>
      </c>
      <c r="I55" s="55" t="s">
        <v>47</v>
      </c>
      <c r="J55" s="53">
        <v>10</v>
      </c>
      <c r="K55" s="56">
        <v>52.631006999999997</v>
      </c>
      <c r="L55" s="57">
        <v>4.9800000000000004</v>
      </c>
      <c r="M55" s="56">
        <f t="shared" si="2"/>
        <v>526.31007</v>
      </c>
      <c r="N55" s="57">
        <f t="shared" si="3"/>
        <v>49.800000000000004</v>
      </c>
      <c r="O55" s="55">
        <v>84818095</v>
      </c>
      <c r="P55" s="58" t="s">
        <v>159</v>
      </c>
      <c r="Q55" s="59" t="s">
        <v>127</v>
      </c>
    </row>
    <row r="56" spans="1:17" s="2" customFormat="1" ht="21">
      <c r="A56" s="53">
        <v>38</v>
      </c>
      <c r="B56" s="53" t="s">
        <v>164</v>
      </c>
      <c r="C56" s="53" t="s">
        <v>165</v>
      </c>
      <c r="D56" s="54" t="s">
        <v>135</v>
      </c>
      <c r="E56" s="54"/>
      <c r="F56" s="53" t="s">
        <v>83</v>
      </c>
      <c r="G56" s="55" t="s">
        <v>136</v>
      </c>
      <c r="H56" s="53" t="s">
        <v>71</v>
      </c>
      <c r="I56" s="55" t="s">
        <v>47</v>
      </c>
      <c r="J56" s="53">
        <v>30</v>
      </c>
      <c r="K56" s="56">
        <v>76.529331450000001</v>
      </c>
      <c r="L56" s="57">
        <v>7.5</v>
      </c>
      <c r="M56" s="56">
        <f t="shared" si="2"/>
        <v>2295.8799435000001</v>
      </c>
      <c r="N56" s="57">
        <f t="shared" si="3"/>
        <v>225</v>
      </c>
      <c r="O56" s="55">
        <v>84818095</v>
      </c>
      <c r="P56" s="58" t="s">
        <v>159</v>
      </c>
      <c r="Q56" s="59" t="s">
        <v>127</v>
      </c>
    </row>
    <row r="57" spans="1:17" s="2" customFormat="1" ht="21">
      <c r="A57" s="53">
        <v>39</v>
      </c>
      <c r="B57" s="53" t="s">
        <v>166</v>
      </c>
      <c r="C57" s="53" t="s">
        <v>167</v>
      </c>
      <c r="D57" s="54" t="s">
        <v>135</v>
      </c>
      <c r="E57" s="54"/>
      <c r="F57" s="53" t="s">
        <v>83</v>
      </c>
      <c r="G57" s="55" t="s">
        <v>136</v>
      </c>
      <c r="H57" s="53" t="s">
        <v>61</v>
      </c>
      <c r="I57" s="55" t="s">
        <v>168</v>
      </c>
      <c r="J57" s="53">
        <v>10</v>
      </c>
      <c r="K57" s="56">
        <v>122.7</v>
      </c>
      <c r="L57" s="57">
        <v>12.9</v>
      </c>
      <c r="M57" s="56">
        <f t="shared" si="2"/>
        <v>1227</v>
      </c>
      <c r="N57" s="57">
        <f t="shared" si="3"/>
        <v>129</v>
      </c>
      <c r="O57" s="55">
        <v>84818095</v>
      </c>
      <c r="P57" s="58" t="s">
        <v>159</v>
      </c>
      <c r="Q57" s="59" t="s">
        <v>127</v>
      </c>
    </row>
    <row r="58" spans="1:17" s="2" customFormat="1" ht="21">
      <c r="A58" s="53">
        <v>40</v>
      </c>
      <c r="B58" s="60" t="s">
        <v>169</v>
      </c>
      <c r="C58" s="60" t="s">
        <v>170</v>
      </c>
      <c r="D58" s="61" t="s">
        <v>135</v>
      </c>
      <c r="E58" s="61"/>
      <c r="F58" s="62" t="s">
        <v>64</v>
      </c>
      <c r="G58" s="62" t="s">
        <v>136</v>
      </c>
      <c r="H58" s="62" t="s">
        <v>65</v>
      </c>
      <c r="I58" s="62" t="s">
        <v>47</v>
      </c>
      <c r="J58" s="63">
        <v>2000</v>
      </c>
      <c r="K58" s="64">
        <v>3.5323000000000002</v>
      </c>
      <c r="L58" s="65">
        <v>0.40329999999999999</v>
      </c>
      <c r="M58" s="66">
        <f t="shared" si="2"/>
        <v>7064.6</v>
      </c>
      <c r="N58" s="67">
        <f t="shared" si="3"/>
        <v>806.6</v>
      </c>
      <c r="O58" s="68">
        <v>84818095</v>
      </c>
      <c r="P58" s="58" t="s">
        <v>171</v>
      </c>
      <c r="Q58" s="59" t="s">
        <v>127</v>
      </c>
    </row>
    <row r="59" spans="1:17" s="2" customFormat="1" ht="21">
      <c r="A59" s="53">
        <v>41</v>
      </c>
      <c r="B59" s="60" t="s">
        <v>172</v>
      </c>
      <c r="C59" s="60" t="s">
        <v>173</v>
      </c>
      <c r="D59" s="61" t="s">
        <v>135</v>
      </c>
      <c r="E59" s="61"/>
      <c r="F59" s="62" t="s">
        <v>64</v>
      </c>
      <c r="G59" s="62" t="s">
        <v>136</v>
      </c>
      <c r="H59" s="62" t="s">
        <v>52</v>
      </c>
      <c r="I59" s="62" t="s">
        <v>47</v>
      </c>
      <c r="J59" s="63">
        <v>1000</v>
      </c>
      <c r="K59" s="64">
        <v>4.59</v>
      </c>
      <c r="L59" s="65">
        <v>0.57230000000000003</v>
      </c>
      <c r="M59" s="66">
        <f t="shared" si="2"/>
        <v>4590</v>
      </c>
      <c r="N59" s="67">
        <f t="shared" si="3"/>
        <v>572.30000000000007</v>
      </c>
      <c r="O59" s="68">
        <v>84818095</v>
      </c>
      <c r="P59" s="58" t="s">
        <v>171</v>
      </c>
      <c r="Q59" s="59" t="s">
        <v>127</v>
      </c>
    </row>
    <row r="60" spans="1:17" s="2" customFormat="1" ht="21">
      <c r="A60" s="53">
        <v>42</v>
      </c>
      <c r="B60" s="60" t="s">
        <v>174</v>
      </c>
      <c r="C60" s="60" t="s">
        <v>175</v>
      </c>
      <c r="D60" s="61" t="s">
        <v>135</v>
      </c>
      <c r="E60" s="61"/>
      <c r="F60" s="62" t="s">
        <v>64</v>
      </c>
      <c r="G60" s="62" t="s">
        <v>136</v>
      </c>
      <c r="H60" s="62" t="s">
        <v>108</v>
      </c>
      <c r="I60" s="62" t="s">
        <v>47</v>
      </c>
      <c r="J60" s="63">
        <v>650</v>
      </c>
      <c r="K60" s="64">
        <v>6.2294</v>
      </c>
      <c r="L60" s="65">
        <v>0.74209999999999998</v>
      </c>
      <c r="M60" s="66">
        <f t="shared" si="2"/>
        <v>4049.11</v>
      </c>
      <c r="N60" s="67">
        <f t="shared" si="3"/>
        <v>482.36500000000001</v>
      </c>
      <c r="O60" s="68">
        <v>84818095</v>
      </c>
      <c r="P60" s="58" t="s">
        <v>171</v>
      </c>
      <c r="Q60" s="59" t="s">
        <v>127</v>
      </c>
    </row>
    <row r="61" spans="1:17" s="2" customFormat="1" ht="21">
      <c r="A61" s="53">
        <v>43</v>
      </c>
      <c r="B61" s="53" t="s">
        <v>176</v>
      </c>
      <c r="C61" s="53" t="s">
        <v>177</v>
      </c>
      <c r="D61" s="54" t="s">
        <v>135</v>
      </c>
      <c r="E61" s="54"/>
      <c r="F61" s="53" t="s">
        <v>64</v>
      </c>
      <c r="G61" s="55" t="s">
        <v>136</v>
      </c>
      <c r="H61" s="53" t="s">
        <v>55</v>
      </c>
      <c r="I61" s="55" t="s">
        <v>47</v>
      </c>
      <c r="J61" s="53">
        <v>50</v>
      </c>
      <c r="K61" s="56">
        <v>10.451619750000001</v>
      </c>
      <c r="L61" s="57">
        <v>1.2929999999999999</v>
      </c>
      <c r="M61" s="56">
        <f t="shared" si="2"/>
        <v>522.58098749999999</v>
      </c>
      <c r="N61" s="57">
        <f t="shared" si="3"/>
        <v>64.649999999999991</v>
      </c>
      <c r="O61" s="55">
        <v>84818095</v>
      </c>
      <c r="P61" s="58" t="s">
        <v>171</v>
      </c>
      <c r="Q61" s="59" t="s">
        <v>127</v>
      </c>
    </row>
    <row r="62" spans="1:17" s="2" customFormat="1" ht="21">
      <c r="A62" s="53">
        <v>44</v>
      </c>
      <c r="B62" s="60" t="s">
        <v>178</v>
      </c>
      <c r="C62" s="60" t="s">
        <v>179</v>
      </c>
      <c r="D62" s="61" t="s">
        <v>135</v>
      </c>
      <c r="E62" s="61"/>
      <c r="F62" s="62" t="s">
        <v>64</v>
      </c>
      <c r="G62" s="62" t="s">
        <v>136</v>
      </c>
      <c r="H62" s="62" t="s">
        <v>113</v>
      </c>
      <c r="I62" s="62" t="s">
        <v>47</v>
      </c>
      <c r="J62" s="63">
        <v>450</v>
      </c>
      <c r="K62" s="64">
        <v>13.86</v>
      </c>
      <c r="L62" s="65">
        <v>1.85</v>
      </c>
      <c r="M62" s="66">
        <f t="shared" si="2"/>
        <v>6237</v>
      </c>
      <c r="N62" s="67">
        <f t="shared" si="3"/>
        <v>832.5</v>
      </c>
      <c r="O62" s="68">
        <v>84818095</v>
      </c>
      <c r="P62" s="58" t="s">
        <v>171</v>
      </c>
      <c r="Q62" s="59" t="s">
        <v>127</v>
      </c>
    </row>
    <row r="63" spans="1:17" s="2" customFormat="1" ht="21">
      <c r="A63" s="53">
        <v>45</v>
      </c>
      <c r="B63" s="60" t="s">
        <v>180</v>
      </c>
      <c r="C63" s="60" t="s">
        <v>181</v>
      </c>
      <c r="D63" s="61" t="s">
        <v>135</v>
      </c>
      <c r="E63" s="61"/>
      <c r="F63" s="62" t="s">
        <v>64</v>
      </c>
      <c r="G63" s="62" t="s">
        <v>136</v>
      </c>
      <c r="H63" s="62" t="s">
        <v>58</v>
      </c>
      <c r="I63" s="62" t="s">
        <v>47</v>
      </c>
      <c r="J63" s="63">
        <v>500</v>
      </c>
      <c r="K63" s="64">
        <v>18.45</v>
      </c>
      <c r="L63" s="65">
        <v>2.4605000000000001</v>
      </c>
      <c r="M63" s="66">
        <f t="shared" si="2"/>
        <v>9225</v>
      </c>
      <c r="N63" s="67">
        <f t="shared" si="3"/>
        <v>1230.25</v>
      </c>
      <c r="O63" s="68">
        <v>84818095</v>
      </c>
      <c r="P63" s="58" t="s">
        <v>171</v>
      </c>
      <c r="Q63" s="59" t="s">
        <v>127</v>
      </c>
    </row>
    <row r="64" spans="1:17" s="2" customFormat="1" ht="21">
      <c r="A64" s="53">
        <v>46</v>
      </c>
      <c r="B64" s="60" t="s">
        <v>182</v>
      </c>
      <c r="C64" s="60"/>
      <c r="D64" s="61" t="s">
        <v>135</v>
      </c>
      <c r="E64" s="61"/>
      <c r="F64" s="62" t="s">
        <v>64</v>
      </c>
      <c r="G64" s="62" t="s">
        <v>136</v>
      </c>
      <c r="H64" s="62" t="s">
        <v>154</v>
      </c>
      <c r="I64" s="62" t="s">
        <v>47</v>
      </c>
      <c r="J64" s="63">
        <v>90</v>
      </c>
      <c r="K64" s="64">
        <v>38.778382499999999</v>
      </c>
      <c r="L64" s="65">
        <v>5.3</v>
      </c>
      <c r="M64" s="66">
        <f t="shared" si="2"/>
        <v>3490.0544249999998</v>
      </c>
      <c r="N64" s="67">
        <f t="shared" si="3"/>
        <v>477</v>
      </c>
      <c r="O64" s="68">
        <v>84818095</v>
      </c>
      <c r="P64" s="58" t="s">
        <v>171</v>
      </c>
      <c r="Q64" s="59" t="s">
        <v>127</v>
      </c>
    </row>
    <row r="65" spans="1:17" s="2" customFormat="1" ht="21">
      <c r="A65" s="53">
        <v>47</v>
      </c>
      <c r="B65" s="60" t="s">
        <v>183</v>
      </c>
      <c r="C65" s="60"/>
      <c r="D65" s="61" t="s">
        <v>135</v>
      </c>
      <c r="E65" s="61"/>
      <c r="F65" s="62" t="s">
        <v>64</v>
      </c>
      <c r="G65" s="62" t="s">
        <v>136</v>
      </c>
      <c r="H65" s="62" t="s">
        <v>71</v>
      </c>
      <c r="I65" s="62" t="s">
        <v>47</v>
      </c>
      <c r="J65" s="63">
        <v>90</v>
      </c>
      <c r="K65" s="64">
        <v>56.777013150000002</v>
      </c>
      <c r="L65" s="65">
        <v>7.1</v>
      </c>
      <c r="M65" s="66">
        <f t="shared" si="2"/>
        <v>5109.9311834999999</v>
      </c>
      <c r="N65" s="67">
        <f t="shared" si="3"/>
        <v>639</v>
      </c>
      <c r="O65" s="68">
        <v>84818095</v>
      </c>
      <c r="P65" s="58" t="s">
        <v>171</v>
      </c>
      <c r="Q65" s="59" t="s">
        <v>127</v>
      </c>
    </row>
    <row r="66" spans="1:17" s="2" customFormat="1" ht="21">
      <c r="A66" s="53">
        <v>48</v>
      </c>
      <c r="B66" s="53" t="s">
        <v>184</v>
      </c>
      <c r="C66" s="53" t="s">
        <v>185</v>
      </c>
      <c r="D66" s="54" t="s">
        <v>135</v>
      </c>
      <c r="E66" s="54"/>
      <c r="F66" s="53" t="s">
        <v>64</v>
      </c>
      <c r="G66" s="55" t="s">
        <v>136</v>
      </c>
      <c r="H66" s="53" t="s">
        <v>65</v>
      </c>
      <c r="I66" s="55" t="s">
        <v>168</v>
      </c>
      <c r="J66" s="53">
        <v>480</v>
      </c>
      <c r="K66" s="56">
        <v>3.51</v>
      </c>
      <c r="L66" s="57">
        <v>0.40329999999999999</v>
      </c>
      <c r="M66" s="56">
        <f t="shared" si="2"/>
        <v>1684.8</v>
      </c>
      <c r="N66" s="57">
        <f t="shared" si="3"/>
        <v>193.584</v>
      </c>
      <c r="O66" s="55">
        <v>84818095</v>
      </c>
      <c r="P66" s="58" t="s">
        <v>171</v>
      </c>
      <c r="Q66" s="59" t="s">
        <v>127</v>
      </c>
    </row>
    <row r="67" spans="1:17" s="2" customFormat="1" ht="21">
      <c r="A67" s="53">
        <v>49</v>
      </c>
      <c r="B67" s="53" t="s">
        <v>186</v>
      </c>
      <c r="C67" s="53" t="s">
        <v>187</v>
      </c>
      <c r="D67" s="54" t="s">
        <v>135</v>
      </c>
      <c r="E67" s="54"/>
      <c r="F67" s="53" t="s">
        <v>64</v>
      </c>
      <c r="G67" s="55" t="s">
        <v>136</v>
      </c>
      <c r="H67" s="53" t="s">
        <v>52</v>
      </c>
      <c r="I67" s="55" t="s">
        <v>168</v>
      </c>
      <c r="J67" s="53">
        <v>180</v>
      </c>
      <c r="K67" s="56">
        <v>4.9464343499999996</v>
      </c>
      <c r="L67" s="57">
        <v>0.57230000000000003</v>
      </c>
      <c r="M67" s="56">
        <f t="shared" si="2"/>
        <v>890.35818299999994</v>
      </c>
      <c r="N67" s="57">
        <f t="shared" si="3"/>
        <v>103.01400000000001</v>
      </c>
      <c r="O67" s="55">
        <v>84818095</v>
      </c>
      <c r="P67" s="58" t="s">
        <v>171</v>
      </c>
      <c r="Q67" s="59" t="s">
        <v>127</v>
      </c>
    </row>
    <row r="68" spans="1:17" s="2" customFormat="1" ht="21">
      <c r="A68" s="53">
        <v>50</v>
      </c>
      <c r="B68" s="53" t="s">
        <v>188</v>
      </c>
      <c r="C68" s="53" t="s">
        <v>189</v>
      </c>
      <c r="D68" s="54" t="s">
        <v>135</v>
      </c>
      <c r="E68" s="54"/>
      <c r="F68" s="53" t="s">
        <v>64</v>
      </c>
      <c r="G68" s="55" t="s">
        <v>136</v>
      </c>
      <c r="H68" s="53" t="s">
        <v>108</v>
      </c>
      <c r="I68" s="55" t="s">
        <v>168</v>
      </c>
      <c r="J68" s="53">
        <v>280</v>
      </c>
      <c r="K68" s="56">
        <v>6.35778</v>
      </c>
      <c r="L68" s="57">
        <v>0.74209999999999998</v>
      </c>
      <c r="M68" s="56">
        <f t="shared" si="2"/>
        <v>1780.1784</v>
      </c>
      <c r="N68" s="57">
        <f t="shared" si="3"/>
        <v>207.78799999999998</v>
      </c>
      <c r="O68" s="55">
        <v>84818095</v>
      </c>
      <c r="P68" s="58" t="s">
        <v>171</v>
      </c>
      <c r="Q68" s="59" t="s">
        <v>127</v>
      </c>
    </row>
    <row r="69" spans="1:17" s="2" customFormat="1" ht="21">
      <c r="A69" s="53">
        <v>51</v>
      </c>
      <c r="B69" s="53" t="s">
        <v>190</v>
      </c>
      <c r="C69" s="53" t="s">
        <v>191</v>
      </c>
      <c r="D69" s="54" t="s">
        <v>135</v>
      </c>
      <c r="E69" s="54"/>
      <c r="F69" s="53" t="s">
        <v>64</v>
      </c>
      <c r="G69" s="55" t="s">
        <v>136</v>
      </c>
      <c r="H69" s="53" t="s">
        <v>58</v>
      </c>
      <c r="I69" s="55" t="s">
        <v>168</v>
      </c>
      <c r="J69" s="53">
        <v>200</v>
      </c>
      <c r="K69" s="56">
        <v>20.357122499999999</v>
      </c>
      <c r="L69" s="57">
        <v>2.4605000000000001</v>
      </c>
      <c r="M69" s="56">
        <f t="shared" si="2"/>
        <v>4071.4244999999996</v>
      </c>
      <c r="N69" s="57">
        <f t="shared" si="3"/>
        <v>492.1</v>
      </c>
      <c r="O69" s="55">
        <v>84818095</v>
      </c>
      <c r="P69" s="58" t="s">
        <v>171</v>
      </c>
      <c r="Q69" s="59" t="s">
        <v>127</v>
      </c>
    </row>
    <row r="70" spans="1:17" s="2" customFormat="1" ht="21">
      <c r="A70" s="53">
        <v>52</v>
      </c>
      <c r="B70" s="53" t="s">
        <v>192</v>
      </c>
      <c r="C70" s="53" t="s">
        <v>193</v>
      </c>
      <c r="D70" s="54" t="s">
        <v>135</v>
      </c>
      <c r="E70" s="54"/>
      <c r="F70" s="53" t="s">
        <v>64</v>
      </c>
      <c r="G70" s="55" t="s">
        <v>136</v>
      </c>
      <c r="H70" s="53" t="s">
        <v>154</v>
      </c>
      <c r="I70" s="55" t="s">
        <v>168</v>
      </c>
      <c r="J70" s="53">
        <v>42</v>
      </c>
      <c r="K70" s="56">
        <v>38.778382499999999</v>
      </c>
      <c r="L70" s="57">
        <v>5.3</v>
      </c>
      <c r="M70" s="56">
        <f t="shared" si="2"/>
        <v>1628.692065</v>
      </c>
      <c r="N70" s="57">
        <f t="shared" si="3"/>
        <v>222.6</v>
      </c>
      <c r="O70" s="55">
        <v>84818095</v>
      </c>
      <c r="P70" s="58" t="s">
        <v>171</v>
      </c>
      <c r="Q70" s="59" t="s">
        <v>127</v>
      </c>
    </row>
    <row r="71" spans="1:17" s="2" customFormat="1" ht="42">
      <c r="A71" s="53">
        <v>53</v>
      </c>
      <c r="B71" s="53" t="s">
        <v>194</v>
      </c>
      <c r="C71" s="53" t="s">
        <v>195</v>
      </c>
      <c r="D71" s="54" t="s">
        <v>144</v>
      </c>
      <c r="E71" s="54"/>
      <c r="F71" s="53" t="s">
        <v>64</v>
      </c>
      <c r="G71" s="55" t="s">
        <v>136</v>
      </c>
      <c r="H71" s="53" t="s">
        <v>52</v>
      </c>
      <c r="I71" s="55" t="s">
        <v>145</v>
      </c>
      <c r="J71" s="53">
        <v>200</v>
      </c>
      <c r="K71" s="56">
        <v>4.9464343499999996</v>
      </c>
      <c r="L71" s="57">
        <v>0.57230000000000003</v>
      </c>
      <c r="M71" s="56">
        <f t="shared" si="2"/>
        <v>989.28686999999991</v>
      </c>
      <c r="N71" s="57">
        <f t="shared" si="3"/>
        <v>114.46000000000001</v>
      </c>
      <c r="O71" s="55">
        <v>84818095</v>
      </c>
      <c r="P71" s="58" t="s">
        <v>171</v>
      </c>
      <c r="Q71" s="59" t="s">
        <v>127</v>
      </c>
    </row>
    <row r="72" spans="1:17" s="2" customFormat="1" ht="42">
      <c r="A72" s="53">
        <v>54</v>
      </c>
      <c r="B72" s="53" t="s">
        <v>196</v>
      </c>
      <c r="C72" s="53" t="s">
        <v>197</v>
      </c>
      <c r="D72" s="54" t="s">
        <v>144</v>
      </c>
      <c r="E72" s="54"/>
      <c r="F72" s="53" t="s">
        <v>64</v>
      </c>
      <c r="G72" s="55" t="s">
        <v>136</v>
      </c>
      <c r="H72" s="53" t="s">
        <v>108</v>
      </c>
      <c r="I72" s="55" t="s">
        <v>145</v>
      </c>
      <c r="J72" s="53">
        <v>200</v>
      </c>
      <c r="K72" s="56">
        <v>6.35778</v>
      </c>
      <c r="L72" s="57">
        <v>0.74209999999999998</v>
      </c>
      <c r="M72" s="56">
        <f t="shared" si="2"/>
        <v>1271.556</v>
      </c>
      <c r="N72" s="57">
        <f t="shared" si="3"/>
        <v>148.41999999999999</v>
      </c>
      <c r="O72" s="55">
        <v>84818095</v>
      </c>
      <c r="P72" s="58" t="s">
        <v>171</v>
      </c>
      <c r="Q72" s="59" t="s">
        <v>127</v>
      </c>
    </row>
    <row r="73" spans="1:17" s="2" customFormat="1" ht="42">
      <c r="A73" s="53">
        <v>55</v>
      </c>
      <c r="B73" s="53" t="s">
        <v>198</v>
      </c>
      <c r="C73" s="53" t="s">
        <v>199</v>
      </c>
      <c r="D73" s="54" t="s">
        <v>144</v>
      </c>
      <c r="E73" s="54"/>
      <c r="F73" s="53" t="s">
        <v>64</v>
      </c>
      <c r="G73" s="55" t="s">
        <v>136</v>
      </c>
      <c r="H73" s="53" t="s">
        <v>55</v>
      </c>
      <c r="I73" s="55" t="s">
        <v>145</v>
      </c>
      <c r="J73" s="53">
        <v>50</v>
      </c>
      <c r="K73" s="56">
        <v>10.451619750000001</v>
      </c>
      <c r="L73" s="57">
        <v>1.2929999999999999</v>
      </c>
      <c r="M73" s="56">
        <f t="shared" si="2"/>
        <v>522.58098749999999</v>
      </c>
      <c r="N73" s="57">
        <f t="shared" si="3"/>
        <v>64.649999999999991</v>
      </c>
      <c r="O73" s="55">
        <v>84818095</v>
      </c>
      <c r="P73" s="58" t="s">
        <v>171</v>
      </c>
      <c r="Q73" s="59" t="s">
        <v>127</v>
      </c>
    </row>
    <row r="74" spans="1:17" s="2" customFormat="1" ht="21">
      <c r="A74" s="53">
        <v>56</v>
      </c>
      <c r="B74" s="53" t="s">
        <v>200</v>
      </c>
      <c r="C74" s="53" t="s">
        <v>201</v>
      </c>
      <c r="D74" s="54" t="s">
        <v>202</v>
      </c>
      <c r="E74" s="54"/>
      <c r="F74" s="53" t="s">
        <v>83</v>
      </c>
      <c r="G74" s="55" t="s">
        <v>136</v>
      </c>
      <c r="H74" s="53" t="s">
        <v>52</v>
      </c>
      <c r="I74" s="55" t="s">
        <v>47</v>
      </c>
      <c r="J74" s="53">
        <v>50</v>
      </c>
      <c r="K74" s="56">
        <v>10.2171013043478</v>
      </c>
      <c r="L74" s="57">
        <v>0.70350000000000001</v>
      </c>
      <c r="M74" s="56">
        <f t="shared" si="2"/>
        <v>510.85506521739001</v>
      </c>
      <c r="N74" s="57">
        <f t="shared" si="3"/>
        <v>35.174999999999997</v>
      </c>
      <c r="O74" s="55">
        <v>84818095</v>
      </c>
      <c r="P74" s="58" t="s">
        <v>203</v>
      </c>
      <c r="Q74" s="59" t="s">
        <v>127</v>
      </c>
    </row>
    <row r="75" spans="1:17" s="2" customFormat="1" ht="31.5">
      <c r="A75" s="53">
        <v>57</v>
      </c>
      <c r="B75" s="53" t="s">
        <v>204</v>
      </c>
      <c r="C75" s="53" t="s">
        <v>205</v>
      </c>
      <c r="D75" s="54" t="s">
        <v>206</v>
      </c>
      <c r="E75" s="54"/>
      <c r="F75" s="53" t="s">
        <v>103</v>
      </c>
      <c r="G75" s="55" t="s">
        <v>45</v>
      </c>
      <c r="H75" s="53" t="s">
        <v>108</v>
      </c>
      <c r="I75" s="55" t="s">
        <v>207</v>
      </c>
      <c r="J75" s="53">
        <v>50</v>
      </c>
      <c r="K75" s="56">
        <v>19.905073511858799</v>
      </c>
      <c r="L75" s="57">
        <v>2.4500000000000002</v>
      </c>
      <c r="M75" s="56">
        <f t="shared" si="2"/>
        <v>995.25367559293989</v>
      </c>
      <c r="N75" s="57">
        <f t="shared" si="3"/>
        <v>122.50000000000001</v>
      </c>
      <c r="O75" s="55">
        <v>84818095</v>
      </c>
      <c r="P75" s="58" t="s">
        <v>208</v>
      </c>
      <c r="Q75" s="59" t="s">
        <v>127</v>
      </c>
    </row>
    <row r="76" spans="1:17" s="2" customFormat="1" ht="31.5">
      <c r="A76" s="53">
        <v>58</v>
      </c>
      <c r="B76" s="53" t="s">
        <v>209</v>
      </c>
      <c r="C76" s="53" t="s">
        <v>210</v>
      </c>
      <c r="D76" s="54" t="s">
        <v>206</v>
      </c>
      <c r="E76" s="54"/>
      <c r="F76" s="53" t="s">
        <v>103</v>
      </c>
      <c r="G76" s="55" t="s">
        <v>45</v>
      </c>
      <c r="H76" s="53" t="s">
        <v>58</v>
      </c>
      <c r="I76" s="55" t="s">
        <v>207</v>
      </c>
      <c r="J76" s="53">
        <v>90</v>
      </c>
      <c r="K76" s="56">
        <v>50.853162343954097</v>
      </c>
      <c r="L76" s="57">
        <v>7.8</v>
      </c>
      <c r="M76" s="56">
        <f t="shared" si="2"/>
        <v>4576.7846109558686</v>
      </c>
      <c r="N76" s="57">
        <f t="shared" si="3"/>
        <v>702</v>
      </c>
      <c r="O76" s="55">
        <v>84818095</v>
      </c>
      <c r="P76" s="58" t="s">
        <v>208</v>
      </c>
      <c r="Q76" s="59" t="s">
        <v>127</v>
      </c>
    </row>
    <row r="77" spans="1:17" s="2" customFormat="1" ht="31.5">
      <c r="A77" s="53">
        <v>59</v>
      </c>
      <c r="B77" s="53" t="s">
        <v>211</v>
      </c>
      <c r="C77" s="53" t="s">
        <v>212</v>
      </c>
      <c r="D77" s="54" t="s">
        <v>206</v>
      </c>
      <c r="E77" s="54"/>
      <c r="F77" s="53" t="s">
        <v>64</v>
      </c>
      <c r="G77" s="55" t="s">
        <v>45</v>
      </c>
      <c r="H77" s="53" t="s">
        <v>108</v>
      </c>
      <c r="I77" s="55" t="s">
        <v>207</v>
      </c>
      <c r="J77" s="53">
        <v>145</v>
      </c>
      <c r="K77" s="56">
        <v>16.3106251625717</v>
      </c>
      <c r="L77" s="57">
        <v>2.4500000000000002</v>
      </c>
      <c r="M77" s="56">
        <f t="shared" si="2"/>
        <v>2365.0406485728963</v>
      </c>
      <c r="N77" s="57">
        <f t="shared" si="3"/>
        <v>355.25</v>
      </c>
      <c r="O77" s="55">
        <v>84818095</v>
      </c>
      <c r="P77" s="58" t="s">
        <v>213</v>
      </c>
      <c r="Q77" s="59" t="s">
        <v>127</v>
      </c>
    </row>
    <row r="78" spans="1:17" s="2" customFormat="1" ht="31.5">
      <c r="A78" s="53">
        <v>60</v>
      </c>
      <c r="B78" s="53" t="s">
        <v>214</v>
      </c>
      <c r="C78" s="53" t="s">
        <v>215</v>
      </c>
      <c r="D78" s="54" t="s">
        <v>206</v>
      </c>
      <c r="E78" s="54"/>
      <c r="F78" s="53" t="s">
        <v>64</v>
      </c>
      <c r="G78" s="55" t="s">
        <v>45</v>
      </c>
      <c r="H78" s="53" t="s">
        <v>113</v>
      </c>
      <c r="I78" s="55" t="s">
        <v>207</v>
      </c>
      <c r="J78" s="53">
        <v>45</v>
      </c>
      <c r="K78" s="56">
        <v>31.0671772734859</v>
      </c>
      <c r="L78" s="57">
        <v>4.4800000000000004</v>
      </c>
      <c r="M78" s="56">
        <f t="shared" si="2"/>
        <v>1398.0229773068654</v>
      </c>
      <c r="N78" s="57">
        <f t="shared" si="3"/>
        <v>201.60000000000002</v>
      </c>
      <c r="O78" s="55">
        <v>84818095</v>
      </c>
      <c r="P78" s="58" t="s">
        <v>213</v>
      </c>
      <c r="Q78" s="59" t="s">
        <v>127</v>
      </c>
    </row>
    <row r="79" spans="1:17" s="2" customFormat="1" ht="31.5">
      <c r="A79" s="53">
        <v>61</v>
      </c>
      <c r="B79" s="53" t="s">
        <v>216</v>
      </c>
      <c r="C79" s="53" t="s">
        <v>217</v>
      </c>
      <c r="D79" s="54" t="s">
        <v>206</v>
      </c>
      <c r="E79" s="54"/>
      <c r="F79" s="53" t="s">
        <v>64</v>
      </c>
      <c r="G79" s="55" t="s">
        <v>45</v>
      </c>
      <c r="H79" s="53" t="s">
        <v>58</v>
      </c>
      <c r="I79" s="55" t="s">
        <v>207</v>
      </c>
      <c r="J79" s="53">
        <v>90</v>
      </c>
      <c r="K79" s="56">
        <v>41.200790568508701</v>
      </c>
      <c r="L79" s="57">
        <v>7.8</v>
      </c>
      <c r="M79" s="56">
        <f t="shared" si="2"/>
        <v>3708.0711511657832</v>
      </c>
      <c r="N79" s="57">
        <f t="shared" si="3"/>
        <v>702</v>
      </c>
      <c r="O79" s="55">
        <v>84818095</v>
      </c>
      <c r="P79" s="58" t="s">
        <v>213</v>
      </c>
      <c r="Q79" s="59" t="s">
        <v>127</v>
      </c>
    </row>
    <row r="80" spans="1:17" s="2" customFormat="1" ht="21">
      <c r="A80" s="53">
        <v>62</v>
      </c>
      <c r="B80" s="53" t="s">
        <v>218</v>
      </c>
      <c r="C80" s="53" t="s">
        <v>219</v>
      </c>
      <c r="D80" s="54" t="s">
        <v>220</v>
      </c>
      <c r="E80" s="54"/>
      <c r="F80" s="53" t="s">
        <v>83</v>
      </c>
      <c r="G80" s="55" t="s">
        <v>136</v>
      </c>
      <c r="H80" s="53" t="s">
        <v>65</v>
      </c>
      <c r="I80" s="55" t="s">
        <v>47</v>
      </c>
      <c r="J80" s="53">
        <v>50</v>
      </c>
      <c r="K80" s="56">
        <v>11.283216665217401</v>
      </c>
      <c r="L80" s="57">
        <v>0.56999999999999995</v>
      </c>
      <c r="M80" s="56">
        <f t="shared" si="2"/>
        <v>564.16083326087005</v>
      </c>
      <c r="N80" s="57">
        <f t="shared" si="3"/>
        <v>28.499999999999996</v>
      </c>
      <c r="O80" s="55">
        <v>84818095</v>
      </c>
      <c r="P80" s="58" t="s">
        <v>221</v>
      </c>
      <c r="Q80" s="59" t="s">
        <v>127</v>
      </c>
    </row>
    <row r="81" spans="1:17" s="2" customFormat="1" ht="21">
      <c r="A81" s="53">
        <v>63</v>
      </c>
      <c r="B81" s="53" t="s">
        <v>222</v>
      </c>
      <c r="C81" s="53" t="s">
        <v>223</v>
      </c>
      <c r="D81" s="54" t="s">
        <v>224</v>
      </c>
      <c r="E81" s="54"/>
      <c r="F81" s="53" t="s">
        <v>103</v>
      </c>
      <c r="G81" s="55" t="s">
        <v>136</v>
      </c>
      <c r="H81" s="53" t="s">
        <v>46</v>
      </c>
      <c r="I81" s="55" t="s">
        <v>47</v>
      </c>
      <c r="J81" s="53">
        <v>200</v>
      </c>
      <c r="K81" s="56">
        <v>2.4458000000000002</v>
      </c>
      <c r="L81" s="57">
        <v>0.12</v>
      </c>
      <c r="M81" s="56">
        <f t="shared" ref="M81:M112" si="4">J81*K81</f>
        <v>489.16</v>
      </c>
      <c r="N81" s="57">
        <f t="shared" ref="N81:N112" si="5">J81*L81</f>
        <v>24</v>
      </c>
      <c r="O81" s="55">
        <v>84818095</v>
      </c>
      <c r="P81" s="58" t="s">
        <v>225</v>
      </c>
      <c r="Q81" s="59" t="s">
        <v>127</v>
      </c>
    </row>
    <row r="82" spans="1:17" s="2" customFormat="1" ht="21">
      <c r="A82" s="53">
        <v>64</v>
      </c>
      <c r="B82" s="53" t="s">
        <v>226</v>
      </c>
      <c r="C82" s="53" t="s">
        <v>227</v>
      </c>
      <c r="D82" s="54" t="s">
        <v>224</v>
      </c>
      <c r="E82" s="54"/>
      <c r="F82" s="53" t="s">
        <v>103</v>
      </c>
      <c r="G82" s="55" t="s">
        <v>136</v>
      </c>
      <c r="H82" s="53" t="s">
        <v>228</v>
      </c>
      <c r="I82" s="55" t="s">
        <v>47</v>
      </c>
      <c r="J82" s="53">
        <v>100</v>
      </c>
      <c r="K82" s="56">
        <v>2.4500000000000002</v>
      </c>
      <c r="L82" s="57">
        <v>0.13</v>
      </c>
      <c r="M82" s="56">
        <f t="shared" si="4"/>
        <v>245.00000000000003</v>
      </c>
      <c r="N82" s="57">
        <f t="shared" si="5"/>
        <v>13</v>
      </c>
      <c r="O82" s="55">
        <v>84818095</v>
      </c>
      <c r="P82" s="58" t="s">
        <v>225</v>
      </c>
      <c r="Q82" s="59" t="s">
        <v>127</v>
      </c>
    </row>
    <row r="83" spans="1:17" s="2" customFormat="1" ht="21">
      <c r="A83" s="53">
        <v>65</v>
      </c>
      <c r="B83" s="53" t="s">
        <v>229</v>
      </c>
      <c r="C83" s="53" t="s">
        <v>230</v>
      </c>
      <c r="D83" s="54" t="s">
        <v>224</v>
      </c>
      <c r="E83" s="54"/>
      <c r="F83" s="53" t="s">
        <v>103</v>
      </c>
      <c r="G83" s="55" t="s">
        <v>136</v>
      </c>
      <c r="H83" s="53" t="s">
        <v>65</v>
      </c>
      <c r="I83" s="55" t="s">
        <v>47</v>
      </c>
      <c r="J83" s="53">
        <v>1700</v>
      </c>
      <c r="K83" s="56">
        <v>2.4613999999999998</v>
      </c>
      <c r="L83" s="57">
        <v>0.22</v>
      </c>
      <c r="M83" s="56">
        <f t="shared" si="4"/>
        <v>4184.38</v>
      </c>
      <c r="N83" s="57">
        <f t="shared" si="5"/>
        <v>374</v>
      </c>
      <c r="O83" s="55">
        <v>84818095</v>
      </c>
      <c r="P83" s="58" t="s">
        <v>225</v>
      </c>
      <c r="Q83" s="59" t="s">
        <v>127</v>
      </c>
    </row>
    <row r="84" spans="1:17" s="2" customFormat="1" ht="21">
      <c r="A84" s="53">
        <v>66</v>
      </c>
      <c r="B84" s="53" t="s">
        <v>231</v>
      </c>
      <c r="C84" s="53" t="s">
        <v>232</v>
      </c>
      <c r="D84" s="54" t="s">
        <v>224</v>
      </c>
      <c r="E84" s="54"/>
      <c r="F84" s="53" t="s">
        <v>103</v>
      </c>
      <c r="G84" s="55" t="s">
        <v>136</v>
      </c>
      <c r="H84" s="53" t="s">
        <v>52</v>
      </c>
      <c r="I84" s="55" t="s">
        <v>47</v>
      </c>
      <c r="J84" s="53">
        <v>450</v>
      </c>
      <c r="K84" s="56">
        <v>3.351</v>
      </c>
      <c r="L84" s="57">
        <v>0.33</v>
      </c>
      <c r="M84" s="56">
        <f t="shared" si="4"/>
        <v>1507.95</v>
      </c>
      <c r="N84" s="57">
        <f t="shared" si="5"/>
        <v>148.5</v>
      </c>
      <c r="O84" s="55">
        <v>84818095</v>
      </c>
      <c r="P84" s="58" t="s">
        <v>225</v>
      </c>
      <c r="Q84" s="59" t="s">
        <v>127</v>
      </c>
    </row>
    <row r="85" spans="1:17" s="2" customFormat="1" ht="21">
      <c r="A85" s="53">
        <v>67</v>
      </c>
      <c r="B85" s="53" t="s">
        <v>233</v>
      </c>
      <c r="C85" s="53" t="s">
        <v>234</v>
      </c>
      <c r="D85" s="54" t="s">
        <v>224</v>
      </c>
      <c r="E85" s="54"/>
      <c r="F85" s="53" t="s">
        <v>103</v>
      </c>
      <c r="G85" s="55" t="s">
        <v>136</v>
      </c>
      <c r="H85" s="53" t="s">
        <v>108</v>
      </c>
      <c r="I85" s="55" t="s">
        <v>47</v>
      </c>
      <c r="J85" s="53">
        <v>450</v>
      </c>
      <c r="K85" s="56">
        <v>4.5599999999999996</v>
      </c>
      <c r="L85" s="57">
        <v>0.48</v>
      </c>
      <c r="M85" s="56">
        <f t="shared" si="4"/>
        <v>2052</v>
      </c>
      <c r="N85" s="57">
        <f t="shared" si="5"/>
        <v>216</v>
      </c>
      <c r="O85" s="55">
        <v>84818095</v>
      </c>
      <c r="P85" s="58" t="s">
        <v>225</v>
      </c>
      <c r="Q85" s="59" t="s">
        <v>127</v>
      </c>
    </row>
    <row r="86" spans="1:17" s="2" customFormat="1" ht="21">
      <c r="A86" s="53">
        <v>68</v>
      </c>
      <c r="B86" s="53" t="s">
        <v>235</v>
      </c>
      <c r="C86" s="53" t="s">
        <v>236</v>
      </c>
      <c r="D86" s="54" t="s">
        <v>224</v>
      </c>
      <c r="E86" s="54"/>
      <c r="F86" s="53" t="s">
        <v>103</v>
      </c>
      <c r="G86" s="55" t="s">
        <v>136</v>
      </c>
      <c r="H86" s="53" t="s">
        <v>58</v>
      </c>
      <c r="I86" s="55" t="s">
        <v>47</v>
      </c>
      <c r="J86" s="53">
        <v>300</v>
      </c>
      <c r="K86" s="56">
        <v>14.5511</v>
      </c>
      <c r="L86" s="57">
        <v>1.57</v>
      </c>
      <c r="M86" s="56">
        <f t="shared" si="4"/>
        <v>4365.33</v>
      </c>
      <c r="N86" s="57">
        <f t="shared" si="5"/>
        <v>471</v>
      </c>
      <c r="O86" s="55">
        <v>84818095</v>
      </c>
      <c r="P86" s="58" t="s">
        <v>225</v>
      </c>
      <c r="Q86" s="59" t="s">
        <v>127</v>
      </c>
    </row>
    <row r="87" spans="1:17" s="2" customFormat="1" ht="21">
      <c r="A87" s="53">
        <v>69</v>
      </c>
      <c r="B87" s="53" t="s">
        <v>237</v>
      </c>
      <c r="C87" s="53" t="s">
        <v>238</v>
      </c>
      <c r="D87" s="54" t="s">
        <v>224</v>
      </c>
      <c r="E87" s="54"/>
      <c r="F87" s="53" t="s">
        <v>103</v>
      </c>
      <c r="G87" s="55" t="s">
        <v>136</v>
      </c>
      <c r="H87" s="53" t="s">
        <v>154</v>
      </c>
      <c r="I87" s="55" t="s">
        <v>47</v>
      </c>
      <c r="J87" s="53">
        <v>20</v>
      </c>
      <c r="K87" s="56">
        <v>29.578199999999999</v>
      </c>
      <c r="L87" s="57">
        <v>3.5070000000000001</v>
      </c>
      <c r="M87" s="56">
        <f t="shared" si="4"/>
        <v>591.56399999999996</v>
      </c>
      <c r="N87" s="57">
        <f t="shared" si="5"/>
        <v>70.14</v>
      </c>
      <c r="O87" s="55">
        <v>84818095</v>
      </c>
      <c r="P87" s="58" t="s">
        <v>225</v>
      </c>
      <c r="Q87" s="59" t="s">
        <v>127</v>
      </c>
    </row>
    <row r="88" spans="1:17" s="2" customFormat="1" ht="21">
      <c r="A88" s="53">
        <v>70</v>
      </c>
      <c r="B88" s="53" t="s">
        <v>239</v>
      </c>
      <c r="C88" s="53" t="s">
        <v>240</v>
      </c>
      <c r="D88" s="54" t="s">
        <v>224</v>
      </c>
      <c r="E88" s="54"/>
      <c r="F88" s="53" t="s">
        <v>103</v>
      </c>
      <c r="G88" s="55" t="s">
        <v>136</v>
      </c>
      <c r="H88" s="53" t="s">
        <v>71</v>
      </c>
      <c r="I88" s="55" t="s">
        <v>47</v>
      </c>
      <c r="J88" s="53">
        <v>45</v>
      </c>
      <c r="K88" s="56">
        <v>41.865573750000003</v>
      </c>
      <c r="L88" s="57">
        <v>4.83</v>
      </c>
      <c r="M88" s="56">
        <f t="shared" si="4"/>
        <v>1883.9508187500001</v>
      </c>
      <c r="N88" s="57">
        <f t="shared" si="5"/>
        <v>217.35</v>
      </c>
      <c r="O88" s="55">
        <v>84818095</v>
      </c>
      <c r="P88" s="58" t="s">
        <v>225</v>
      </c>
      <c r="Q88" s="59" t="s">
        <v>127</v>
      </c>
    </row>
    <row r="89" spans="1:17" s="2" customFormat="1" ht="21">
      <c r="A89" s="53">
        <v>71</v>
      </c>
      <c r="B89" s="53" t="s">
        <v>241</v>
      </c>
      <c r="C89" s="53" t="s">
        <v>242</v>
      </c>
      <c r="D89" s="54" t="s">
        <v>224</v>
      </c>
      <c r="E89" s="54"/>
      <c r="F89" s="53" t="s">
        <v>83</v>
      </c>
      <c r="G89" s="55" t="s">
        <v>136</v>
      </c>
      <c r="H89" s="53" t="s">
        <v>46</v>
      </c>
      <c r="I89" s="55" t="s">
        <v>47</v>
      </c>
      <c r="J89" s="53">
        <v>230</v>
      </c>
      <c r="K89" s="56">
        <v>3.01</v>
      </c>
      <c r="L89" s="57">
        <v>0.12</v>
      </c>
      <c r="M89" s="56">
        <f t="shared" si="4"/>
        <v>692.3</v>
      </c>
      <c r="N89" s="57">
        <f t="shared" si="5"/>
        <v>27.599999999999998</v>
      </c>
      <c r="O89" s="55">
        <v>84818095</v>
      </c>
      <c r="P89" s="58" t="s">
        <v>243</v>
      </c>
      <c r="Q89" s="59" t="s">
        <v>127</v>
      </c>
    </row>
    <row r="90" spans="1:17" s="2" customFormat="1" ht="21">
      <c r="A90" s="53">
        <v>72</v>
      </c>
      <c r="B90" s="53" t="s">
        <v>244</v>
      </c>
      <c r="C90" s="53" t="s">
        <v>245</v>
      </c>
      <c r="D90" s="54" t="s">
        <v>224</v>
      </c>
      <c r="E90" s="54"/>
      <c r="F90" s="53" t="s">
        <v>83</v>
      </c>
      <c r="G90" s="55" t="s">
        <v>136</v>
      </c>
      <c r="H90" s="53" t="s">
        <v>65</v>
      </c>
      <c r="I90" s="55" t="s">
        <v>47</v>
      </c>
      <c r="J90" s="53">
        <v>300</v>
      </c>
      <c r="K90" s="56">
        <v>3.0141</v>
      </c>
      <c r="L90" s="57">
        <v>0.22</v>
      </c>
      <c r="M90" s="56">
        <f t="shared" si="4"/>
        <v>904.23</v>
      </c>
      <c r="N90" s="57">
        <f t="shared" si="5"/>
        <v>66</v>
      </c>
      <c r="O90" s="55">
        <v>84818095</v>
      </c>
      <c r="P90" s="58" t="s">
        <v>243</v>
      </c>
      <c r="Q90" s="59" t="s">
        <v>127</v>
      </c>
    </row>
    <row r="91" spans="1:17" s="2" customFormat="1" ht="21">
      <c r="A91" s="53">
        <v>73</v>
      </c>
      <c r="B91" s="53" t="s">
        <v>246</v>
      </c>
      <c r="C91" s="53" t="s">
        <v>247</v>
      </c>
      <c r="D91" s="54" t="s">
        <v>224</v>
      </c>
      <c r="E91" s="54"/>
      <c r="F91" s="53" t="s">
        <v>83</v>
      </c>
      <c r="G91" s="55" t="s">
        <v>136</v>
      </c>
      <c r="H91" s="53" t="s">
        <v>52</v>
      </c>
      <c r="I91" s="55" t="s">
        <v>47</v>
      </c>
      <c r="J91" s="53">
        <v>200</v>
      </c>
      <c r="K91" s="56">
        <v>4.0331999999999999</v>
      </c>
      <c r="L91" s="57">
        <v>0.33</v>
      </c>
      <c r="M91" s="56">
        <f t="shared" si="4"/>
        <v>806.64</v>
      </c>
      <c r="N91" s="57">
        <f t="shared" si="5"/>
        <v>66</v>
      </c>
      <c r="O91" s="55">
        <v>84818095</v>
      </c>
      <c r="P91" s="58" t="s">
        <v>243</v>
      </c>
      <c r="Q91" s="59" t="s">
        <v>127</v>
      </c>
    </row>
    <row r="92" spans="1:17" s="2" customFormat="1" ht="21">
      <c r="A92" s="53">
        <v>74</v>
      </c>
      <c r="B92" s="53" t="s">
        <v>248</v>
      </c>
      <c r="C92" s="53" t="s">
        <v>249</v>
      </c>
      <c r="D92" s="54" t="s">
        <v>224</v>
      </c>
      <c r="E92" s="54"/>
      <c r="F92" s="53" t="s">
        <v>83</v>
      </c>
      <c r="G92" s="55" t="s">
        <v>136</v>
      </c>
      <c r="H92" s="53" t="s">
        <v>108</v>
      </c>
      <c r="I92" s="55" t="s">
        <v>47</v>
      </c>
      <c r="J92" s="53">
        <v>100</v>
      </c>
      <c r="K92" s="56">
        <v>5.5180999999999996</v>
      </c>
      <c r="L92" s="57">
        <v>0.48</v>
      </c>
      <c r="M92" s="56">
        <f t="shared" si="4"/>
        <v>551.80999999999995</v>
      </c>
      <c r="N92" s="57">
        <f t="shared" si="5"/>
        <v>48</v>
      </c>
      <c r="O92" s="55">
        <v>84818095</v>
      </c>
      <c r="P92" s="58" t="s">
        <v>243</v>
      </c>
      <c r="Q92" s="59" t="s">
        <v>127</v>
      </c>
    </row>
    <row r="93" spans="1:17" s="2" customFormat="1" ht="21">
      <c r="A93" s="53">
        <v>75</v>
      </c>
      <c r="B93" s="53" t="s">
        <v>250</v>
      </c>
      <c r="C93" s="53" t="s">
        <v>251</v>
      </c>
      <c r="D93" s="54" t="s">
        <v>224</v>
      </c>
      <c r="E93" s="54"/>
      <c r="F93" s="53" t="s">
        <v>83</v>
      </c>
      <c r="G93" s="55" t="s">
        <v>136</v>
      </c>
      <c r="H93" s="53" t="s">
        <v>58</v>
      </c>
      <c r="I93" s="55" t="s">
        <v>47</v>
      </c>
      <c r="J93" s="53">
        <v>50</v>
      </c>
      <c r="K93" s="56">
        <v>18.315297000000001</v>
      </c>
      <c r="L93" s="57">
        <v>1.57</v>
      </c>
      <c r="M93" s="56">
        <f t="shared" si="4"/>
        <v>915.76485000000002</v>
      </c>
      <c r="N93" s="57">
        <f t="shared" si="5"/>
        <v>78.5</v>
      </c>
      <c r="O93" s="55">
        <v>84818095</v>
      </c>
      <c r="P93" s="58" t="s">
        <v>243</v>
      </c>
      <c r="Q93" s="59" t="s">
        <v>127</v>
      </c>
    </row>
    <row r="94" spans="1:17" s="2" customFormat="1" ht="31.5">
      <c r="A94" s="53">
        <v>76</v>
      </c>
      <c r="B94" s="53" t="s">
        <v>252</v>
      </c>
      <c r="C94" s="53" t="s">
        <v>253</v>
      </c>
      <c r="D94" s="54" t="s">
        <v>254</v>
      </c>
      <c r="E94" s="54"/>
      <c r="F94" s="53" t="s">
        <v>103</v>
      </c>
      <c r="G94" s="55" t="s">
        <v>45</v>
      </c>
      <c r="H94" s="53" t="s">
        <v>71</v>
      </c>
      <c r="I94" s="55" t="s">
        <v>207</v>
      </c>
      <c r="J94" s="53">
        <v>46</v>
      </c>
      <c r="K94" s="56">
        <v>84.322150918137595</v>
      </c>
      <c r="L94" s="57">
        <v>11.04</v>
      </c>
      <c r="M94" s="56">
        <f t="shared" si="4"/>
        <v>3878.8189422343294</v>
      </c>
      <c r="N94" s="57">
        <f t="shared" si="5"/>
        <v>507.84</v>
      </c>
      <c r="O94" s="55">
        <v>84818095</v>
      </c>
      <c r="P94" s="58" t="s">
        <v>255</v>
      </c>
      <c r="Q94" s="59" t="s">
        <v>127</v>
      </c>
    </row>
    <row r="95" spans="1:17" s="2" customFormat="1" ht="31.5">
      <c r="A95" s="53">
        <v>77</v>
      </c>
      <c r="B95" s="53" t="s">
        <v>256</v>
      </c>
      <c r="C95" s="53" t="s">
        <v>257</v>
      </c>
      <c r="D95" s="54" t="s">
        <v>254</v>
      </c>
      <c r="E95" s="54"/>
      <c r="F95" s="53" t="s">
        <v>103</v>
      </c>
      <c r="G95" s="55" t="s">
        <v>45</v>
      </c>
      <c r="H95" s="53" t="s">
        <v>61</v>
      </c>
      <c r="I95" s="55" t="s">
        <v>207</v>
      </c>
      <c r="J95" s="53">
        <v>45</v>
      </c>
      <c r="K95" s="56">
        <v>124.838723266819</v>
      </c>
      <c r="L95" s="57">
        <v>17.28</v>
      </c>
      <c r="M95" s="56">
        <f t="shared" si="4"/>
        <v>5617.7425470068547</v>
      </c>
      <c r="N95" s="57">
        <f t="shared" si="5"/>
        <v>777.6</v>
      </c>
      <c r="O95" s="55">
        <v>84818095</v>
      </c>
      <c r="P95" s="58" t="s">
        <v>255</v>
      </c>
      <c r="Q95" s="59" t="s">
        <v>127</v>
      </c>
    </row>
    <row r="96" spans="1:17" s="2" customFormat="1" ht="31.5">
      <c r="A96" s="53">
        <v>78</v>
      </c>
      <c r="B96" s="53" t="s">
        <v>258</v>
      </c>
      <c r="C96" s="53" t="s">
        <v>259</v>
      </c>
      <c r="D96" s="54" t="s">
        <v>254</v>
      </c>
      <c r="E96" s="54"/>
      <c r="F96" s="53" t="s">
        <v>83</v>
      </c>
      <c r="G96" s="55" t="s">
        <v>45</v>
      </c>
      <c r="H96" s="53" t="s">
        <v>58</v>
      </c>
      <c r="I96" s="55" t="s">
        <v>207</v>
      </c>
      <c r="J96" s="53">
        <v>16</v>
      </c>
      <c r="K96" s="56">
        <v>54.22</v>
      </c>
      <c r="L96" s="57">
        <v>7.2</v>
      </c>
      <c r="M96" s="56">
        <f t="shared" si="4"/>
        <v>867.52</v>
      </c>
      <c r="N96" s="57">
        <f t="shared" si="5"/>
        <v>115.2</v>
      </c>
      <c r="O96" s="55">
        <v>84818095</v>
      </c>
      <c r="P96" s="58" t="s">
        <v>260</v>
      </c>
      <c r="Q96" s="59" t="s">
        <v>127</v>
      </c>
    </row>
    <row r="97" spans="1:17" s="2" customFormat="1" ht="31.5">
      <c r="A97" s="53">
        <v>79</v>
      </c>
      <c r="B97" s="53" t="s">
        <v>261</v>
      </c>
      <c r="C97" s="53" t="s">
        <v>262</v>
      </c>
      <c r="D97" s="54" t="s">
        <v>254</v>
      </c>
      <c r="E97" s="54"/>
      <c r="F97" s="53" t="s">
        <v>83</v>
      </c>
      <c r="G97" s="55" t="s">
        <v>45</v>
      </c>
      <c r="H97" s="53" t="s">
        <v>154</v>
      </c>
      <c r="I97" s="55" t="s">
        <v>207</v>
      </c>
      <c r="J97" s="53">
        <v>16</v>
      </c>
      <c r="K97" s="56">
        <v>73.87</v>
      </c>
      <c r="L97" s="57">
        <v>10.36</v>
      </c>
      <c r="M97" s="56">
        <f t="shared" si="4"/>
        <v>1181.92</v>
      </c>
      <c r="N97" s="57">
        <f t="shared" si="5"/>
        <v>165.76</v>
      </c>
      <c r="O97" s="55">
        <v>84818095</v>
      </c>
      <c r="P97" s="58" t="s">
        <v>260</v>
      </c>
      <c r="Q97" s="59" t="s">
        <v>127</v>
      </c>
    </row>
    <row r="98" spans="1:17" s="2" customFormat="1" ht="31.5">
      <c r="A98" s="53">
        <v>80</v>
      </c>
      <c r="B98" s="53" t="s">
        <v>263</v>
      </c>
      <c r="C98" s="53" t="s">
        <v>264</v>
      </c>
      <c r="D98" s="54" t="s">
        <v>254</v>
      </c>
      <c r="E98" s="54"/>
      <c r="F98" s="53" t="s">
        <v>83</v>
      </c>
      <c r="G98" s="55" t="s">
        <v>45</v>
      </c>
      <c r="H98" s="53" t="s">
        <v>71</v>
      </c>
      <c r="I98" s="55" t="s">
        <v>207</v>
      </c>
      <c r="J98" s="53">
        <v>50</v>
      </c>
      <c r="K98" s="56">
        <v>100.3</v>
      </c>
      <c r="L98" s="57">
        <v>13.8</v>
      </c>
      <c r="M98" s="56">
        <f t="shared" si="4"/>
        <v>5015</v>
      </c>
      <c r="N98" s="57">
        <f t="shared" si="5"/>
        <v>690</v>
      </c>
      <c r="O98" s="55">
        <v>84818095</v>
      </c>
      <c r="P98" s="58" t="s">
        <v>260</v>
      </c>
      <c r="Q98" s="59" t="s">
        <v>127</v>
      </c>
    </row>
    <row r="99" spans="1:17" s="2" customFormat="1" ht="31.5">
      <c r="A99" s="53">
        <v>81</v>
      </c>
      <c r="B99" s="53" t="s">
        <v>265</v>
      </c>
      <c r="C99" s="53" t="s">
        <v>266</v>
      </c>
      <c r="D99" s="54" t="s">
        <v>254</v>
      </c>
      <c r="E99" s="54"/>
      <c r="F99" s="53" t="s">
        <v>83</v>
      </c>
      <c r="G99" s="55" t="s">
        <v>45</v>
      </c>
      <c r="H99" s="53" t="s">
        <v>61</v>
      </c>
      <c r="I99" s="55" t="s">
        <v>207</v>
      </c>
      <c r="J99" s="53">
        <v>50</v>
      </c>
      <c r="K99" s="56">
        <v>149.69</v>
      </c>
      <c r="L99" s="57">
        <v>21.6</v>
      </c>
      <c r="M99" s="56">
        <f t="shared" si="4"/>
        <v>7484.5</v>
      </c>
      <c r="N99" s="57">
        <f t="shared" si="5"/>
        <v>1080</v>
      </c>
      <c r="O99" s="55">
        <v>84818095</v>
      </c>
      <c r="P99" s="58" t="s">
        <v>260</v>
      </c>
      <c r="Q99" s="59" t="s">
        <v>127</v>
      </c>
    </row>
    <row r="100" spans="1:17" s="2" customFormat="1" ht="31.5">
      <c r="A100" s="53">
        <v>82</v>
      </c>
      <c r="B100" s="53" t="s">
        <v>267</v>
      </c>
      <c r="C100" s="53" t="s">
        <v>268</v>
      </c>
      <c r="D100" s="54" t="s">
        <v>269</v>
      </c>
      <c r="E100" s="54"/>
      <c r="F100" s="53" t="s">
        <v>83</v>
      </c>
      <c r="G100" s="55" t="s">
        <v>45</v>
      </c>
      <c r="H100" s="53" t="s">
        <v>270</v>
      </c>
      <c r="I100" s="55" t="s">
        <v>207</v>
      </c>
      <c r="J100" s="53">
        <v>15</v>
      </c>
      <c r="K100" s="56">
        <v>268.12799999999999</v>
      </c>
      <c r="L100" s="57">
        <v>42.38</v>
      </c>
      <c r="M100" s="56">
        <f t="shared" si="4"/>
        <v>4021.9199999999996</v>
      </c>
      <c r="N100" s="57">
        <f t="shared" si="5"/>
        <v>635.70000000000005</v>
      </c>
      <c r="O100" s="55">
        <v>84818095</v>
      </c>
      <c r="P100" s="58" t="s">
        <v>260</v>
      </c>
      <c r="Q100" s="59" t="s">
        <v>127</v>
      </c>
    </row>
    <row r="101" spans="1:17" s="2" customFormat="1" ht="31.5">
      <c r="A101" s="53">
        <v>83</v>
      </c>
      <c r="B101" s="53" t="s">
        <v>271</v>
      </c>
      <c r="C101" s="53" t="s">
        <v>272</v>
      </c>
      <c r="D101" s="54" t="s">
        <v>254</v>
      </c>
      <c r="E101" s="54"/>
      <c r="F101" s="53" t="s">
        <v>64</v>
      </c>
      <c r="G101" s="55" t="s">
        <v>45</v>
      </c>
      <c r="H101" s="53" t="s">
        <v>58</v>
      </c>
      <c r="I101" s="55" t="s">
        <v>207</v>
      </c>
      <c r="J101" s="53">
        <v>90</v>
      </c>
      <c r="K101" s="56">
        <v>36</v>
      </c>
      <c r="L101" s="57">
        <v>7.2</v>
      </c>
      <c r="M101" s="56">
        <f t="shared" si="4"/>
        <v>3240</v>
      </c>
      <c r="N101" s="57">
        <f t="shared" si="5"/>
        <v>648</v>
      </c>
      <c r="O101" s="55">
        <v>84818095</v>
      </c>
      <c r="P101" s="58" t="s">
        <v>273</v>
      </c>
      <c r="Q101" s="59" t="s">
        <v>127</v>
      </c>
    </row>
    <row r="102" spans="1:17" s="2" customFormat="1" ht="31.5">
      <c r="A102" s="53">
        <v>84</v>
      </c>
      <c r="B102" s="53" t="s">
        <v>274</v>
      </c>
      <c r="C102" s="53" t="s">
        <v>275</v>
      </c>
      <c r="D102" s="54" t="s">
        <v>254</v>
      </c>
      <c r="E102" s="54"/>
      <c r="F102" s="53" t="s">
        <v>64</v>
      </c>
      <c r="G102" s="55" t="s">
        <v>45</v>
      </c>
      <c r="H102" s="53" t="s">
        <v>71</v>
      </c>
      <c r="I102" s="55" t="s">
        <v>207</v>
      </c>
      <c r="J102" s="53">
        <v>90</v>
      </c>
      <c r="K102" s="56">
        <v>63</v>
      </c>
      <c r="L102" s="57">
        <v>13.8</v>
      </c>
      <c r="M102" s="56">
        <f t="shared" si="4"/>
        <v>5670</v>
      </c>
      <c r="N102" s="57">
        <f t="shared" si="5"/>
        <v>1242</v>
      </c>
      <c r="O102" s="55">
        <v>84818095</v>
      </c>
      <c r="P102" s="58" t="s">
        <v>273</v>
      </c>
      <c r="Q102" s="59" t="s">
        <v>127</v>
      </c>
    </row>
    <row r="103" spans="1:17" s="2" customFormat="1" ht="31.5">
      <c r="A103" s="53">
        <v>85</v>
      </c>
      <c r="B103" s="53" t="s">
        <v>276</v>
      </c>
      <c r="C103" s="53" t="s">
        <v>277</v>
      </c>
      <c r="D103" s="54" t="s">
        <v>254</v>
      </c>
      <c r="E103" s="54"/>
      <c r="F103" s="53" t="s">
        <v>64</v>
      </c>
      <c r="G103" s="55" t="s">
        <v>45</v>
      </c>
      <c r="H103" s="53" t="s">
        <v>61</v>
      </c>
      <c r="I103" s="55" t="s">
        <v>207</v>
      </c>
      <c r="J103" s="53">
        <v>80</v>
      </c>
      <c r="K103" s="56">
        <v>94.5</v>
      </c>
      <c r="L103" s="57">
        <v>21.6</v>
      </c>
      <c r="M103" s="56">
        <f t="shared" si="4"/>
        <v>7560</v>
      </c>
      <c r="N103" s="57">
        <f t="shared" si="5"/>
        <v>1728</v>
      </c>
      <c r="O103" s="55">
        <v>84818095</v>
      </c>
      <c r="P103" s="58" t="s">
        <v>273</v>
      </c>
      <c r="Q103" s="59" t="s">
        <v>127</v>
      </c>
    </row>
    <row r="104" spans="1:17" s="2" customFormat="1" ht="31.5">
      <c r="A104" s="53">
        <v>86</v>
      </c>
      <c r="B104" s="53" t="s">
        <v>278</v>
      </c>
      <c r="C104" s="53" t="s">
        <v>279</v>
      </c>
      <c r="D104" s="54" t="s">
        <v>269</v>
      </c>
      <c r="E104" s="54"/>
      <c r="F104" s="53" t="s">
        <v>64</v>
      </c>
      <c r="G104" s="55" t="s">
        <v>45</v>
      </c>
      <c r="H104" s="53" t="s">
        <v>270</v>
      </c>
      <c r="I104" s="55" t="s">
        <v>207</v>
      </c>
      <c r="J104" s="53">
        <v>22</v>
      </c>
      <c r="K104" s="56">
        <v>189</v>
      </c>
      <c r="L104" s="57">
        <v>42.38</v>
      </c>
      <c r="M104" s="56">
        <f t="shared" si="4"/>
        <v>4158</v>
      </c>
      <c r="N104" s="57">
        <f t="shared" si="5"/>
        <v>932.36</v>
      </c>
      <c r="O104" s="55">
        <v>84818095</v>
      </c>
      <c r="P104" s="58" t="s">
        <v>273</v>
      </c>
      <c r="Q104" s="59" t="s">
        <v>127</v>
      </c>
    </row>
    <row r="105" spans="1:17" s="2" customFormat="1" ht="21">
      <c r="A105" s="53">
        <v>87</v>
      </c>
      <c r="B105" s="53" t="s">
        <v>280</v>
      </c>
      <c r="C105" s="53" t="s">
        <v>281</v>
      </c>
      <c r="D105" s="54" t="s">
        <v>282</v>
      </c>
      <c r="E105" s="54"/>
      <c r="F105" s="53" t="s">
        <v>283</v>
      </c>
      <c r="G105" s="55" t="s">
        <v>284</v>
      </c>
      <c r="H105" s="53" t="s">
        <v>58</v>
      </c>
      <c r="I105" s="55" t="s">
        <v>284</v>
      </c>
      <c r="J105" s="53">
        <v>40</v>
      </c>
      <c r="K105" s="56">
        <v>5</v>
      </c>
      <c r="L105" s="57">
        <v>0.5</v>
      </c>
      <c r="M105" s="56">
        <f t="shared" si="4"/>
        <v>200</v>
      </c>
      <c r="N105" s="57">
        <f t="shared" si="5"/>
        <v>20</v>
      </c>
      <c r="O105" s="55">
        <v>84819090</v>
      </c>
      <c r="P105" s="58" t="s">
        <v>285</v>
      </c>
      <c r="Q105" s="59" t="s">
        <v>127</v>
      </c>
    </row>
    <row r="106" spans="1:17" s="2" customFormat="1" ht="21">
      <c r="A106" s="53">
        <v>88</v>
      </c>
      <c r="B106" s="53" t="s">
        <v>286</v>
      </c>
      <c r="C106" s="53" t="s">
        <v>287</v>
      </c>
      <c r="D106" s="54" t="s">
        <v>288</v>
      </c>
      <c r="E106" s="54"/>
      <c r="F106" s="53" t="s">
        <v>103</v>
      </c>
      <c r="G106" s="55" t="s">
        <v>136</v>
      </c>
      <c r="H106" s="53" t="s">
        <v>52</v>
      </c>
      <c r="I106" s="55" t="s">
        <v>47</v>
      </c>
      <c r="J106" s="53">
        <v>140</v>
      </c>
      <c r="K106" s="56">
        <v>5.5849709513435002</v>
      </c>
      <c r="L106" s="57">
        <v>0.5</v>
      </c>
      <c r="M106" s="56">
        <f t="shared" si="4"/>
        <v>781.89593318809</v>
      </c>
      <c r="N106" s="57">
        <f t="shared" si="5"/>
        <v>70</v>
      </c>
      <c r="O106" s="55">
        <v>84818095</v>
      </c>
      <c r="P106" s="58" t="s">
        <v>289</v>
      </c>
      <c r="Q106" s="59" t="s">
        <v>127</v>
      </c>
    </row>
    <row r="107" spans="1:17" s="2" customFormat="1" ht="21">
      <c r="A107" s="53">
        <v>89</v>
      </c>
      <c r="B107" s="53" t="s">
        <v>290</v>
      </c>
      <c r="C107" s="53" t="s">
        <v>291</v>
      </c>
      <c r="D107" s="54" t="s">
        <v>288</v>
      </c>
      <c r="E107" s="54"/>
      <c r="F107" s="53" t="s">
        <v>103</v>
      </c>
      <c r="G107" s="55" t="s">
        <v>136</v>
      </c>
      <c r="H107" s="53" t="s">
        <v>71</v>
      </c>
      <c r="I107" s="55" t="s">
        <v>47</v>
      </c>
      <c r="J107" s="53">
        <v>25</v>
      </c>
      <c r="K107" s="56">
        <v>53.0554720406681</v>
      </c>
      <c r="L107" s="57">
        <v>6.4</v>
      </c>
      <c r="M107" s="56">
        <f t="shared" si="4"/>
        <v>1326.3868010167025</v>
      </c>
      <c r="N107" s="57">
        <f t="shared" si="5"/>
        <v>160</v>
      </c>
      <c r="O107" s="55">
        <v>84818095</v>
      </c>
      <c r="P107" s="58" t="s">
        <v>289</v>
      </c>
      <c r="Q107" s="59" t="s">
        <v>127</v>
      </c>
    </row>
    <row r="108" spans="1:17" s="2" customFormat="1" ht="21">
      <c r="A108" s="53">
        <v>90</v>
      </c>
      <c r="B108" s="53" t="s">
        <v>292</v>
      </c>
      <c r="C108" s="53" t="s">
        <v>293</v>
      </c>
      <c r="D108" s="54" t="s">
        <v>294</v>
      </c>
      <c r="E108" s="54"/>
      <c r="F108" s="53" t="s">
        <v>103</v>
      </c>
      <c r="G108" s="55" t="s">
        <v>136</v>
      </c>
      <c r="H108" s="53" t="s">
        <v>295</v>
      </c>
      <c r="I108" s="55" t="s">
        <v>296</v>
      </c>
      <c r="J108" s="53">
        <v>45</v>
      </c>
      <c r="K108" s="56">
        <v>24.25</v>
      </c>
      <c r="L108" s="57">
        <v>2.46</v>
      </c>
      <c r="M108" s="56">
        <f t="shared" si="4"/>
        <v>1091.25</v>
      </c>
      <c r="N108" s="57">
        <f t="shared" si="5"/>
        <v>110.7</v>
      </c>
      <c r="O108" s="55">
        <v>84818095</v>
      </c>
      <c r="P108" s="58" t="s">
        <v>297</v>
      </c>
      <c r="Q108" s="59" t="s">
        <v>127</v>
      </c>
    </row>
    <row r="109" spans="1:17" s="2" customFormat="1" ht="21">
      <c r="A109" s="53">
        <v>91</v>
      </c>
      <c r="B109" s="53" t="s">
        <v>298</v>
      </c>
      <c r="C109" s="53" t="s">
        <v>299</v>
      </c>
      <c r="D109" s="54" t="s">
        <v>294</v>
      </c>
      <c r="E109" s="54"/>
      <c r="F109" s="53" t="s">
        <v>103</v>
      </c>
      <c r="G109" s="55" t="s">
        <v>300</v>
      </c>
      <c r="H109" s="53" t="s">
        <v>301</v>
      </c>
      <c r="I109" s="55" t="s">
        <v>296</v>
      </c>
      <c r="J109" s="53">
        <v>25</v>
      </c>
      <c r="K109" s="56">
        <v>44.1</v>
      </c>
      <c r="L109" s="57">
        <v>4.83</v>
      </c>
      <c r="M109" s="56">
        <f t="shared" si="4"/>
        <v>1102.5</v>
      </c>
      <c r="N109" s="57">
        <f t="shared" si="5"/>
        <v>120.75</v>
      </c>
      <c r="O109" s="55">
        <v>84818095</v>
      </c>
      <c r="P109" s="58" t="s">
        <v>297</v>
      </c>
      <c r="Q109" s="59" t="s">
        <v>127</v>
      </c>
    </row>
    <row r="110" spans="1:17" s="2" customFormat="1" ht="21">
      <c r="A110" s="53">
        <v>92</v>
      </c>
      <c r="B110" s="53" t="s">
        <v>302</v>
      </c>
      <c r="C110" s="53" t="s">
        <v>303</v>
      </c>
      <c r="D110" s="54" t="s">
        <v>294</v>
      </c>
      <c r="E110" s="54"/>
      <c r="F110" s="53" t="s">
        <v>103</v>
      </c>
      <c r="G110" s="55" t="s">
        <v>300</v>
      </c>
      <c r="H110" s="53" t="s">
        <v>304</v>
      </c>
      <c r="I110" s="55" t="s">
        <v>296</v>
      </c>
      <c r="J110" s="53">
        <v>15</v>
      </c>
      <c r="K110" s="56">
        <v>64.17</v>
      </c>
      <c r="L110" s="57">
        <v>7.04</v>
      </c>
      <c r="M110" s="56">
        <f t="shared" si="4"/>
        <v>962.55000000000007</v>
      </c>
      <c r="N110" s="57">
        <f t="shared" si="5"/>
        <v>105.6</v>
      </c>
      <c r="O110" s="55">
        <v>84818095</v>
      </c>
      <c r="P110" s="58" t="s">
        <v>297</v>
      </c>
      <c r="Q110" s="59" t="s">
        <v>127</v>
      </c>
    </row>
    <row r="111" spans="1:17" s="2" customFormat="1" ht="31.5">
      <c r="A111" s="53">
        <v>93</v>
      </c>
      <c r="B111" s="53" t="s">
        <v>305</v>
      </c>
      <c r="C111" s="53" t="s">
        <v>306</v>
      </c>
      <c r="D111" s="54" t="s">
        <v>294</v>
      </c>
      <c r="E111" s="54"/>
      <c r="F111" s="53" t="s">
        <v>103</v>
      </c>
      <c r="G111" s="55" t="s">
        <v>136</v>
      </c>
      <c r="H111" s="53" t="s">
        <v>307</v>
      </c>
      <c r="I111" s="55" t="s">
        <v>308</v>
      </c>
      <c r="J111" s="53">
        <v>90</v>
      </c>
      <c r="K111" s="56">
        <v>5.3</v>
      </c>
      <c r="L111" s="57">
        <v>0.28000000000000003</v>
      </c>
      <c r="M111" s="56">
        <f t="shared" si="4"/>
        <v>477</v>
      </c>
      <c r="N111" s="57">
        <f t="shared" si="5"/>
        <v>25.200000000000003</v>
      </c>
      <c r="O111" s="55">
        <v>84818095</v>
      </c>
      <c r="P111" s="58" t="s">
        <v>297</v>
      </c>
      <c r="Q111" s="59" t="s">
        <v>127</v>
      </c>
    </row>
    <row r="112" spans="1:17" s="2" customFormat="1" ht="31.5">
      <c r="A112" s="53">
        <v>94</v>
      </c>
      <c r="B112" s="53" t="s">
        <v>309</v>
      </c>
      <c r="C112" s="53" t="s">
        <v>310</v>
      </c>
      <c r="D112" s="54" t="s">
        <v>294</v>
      </c>
      <c r="E112" s="54"/>
      <c r="F112" s="53" t="s">
        <v>103</v>
      </c>
      <c r="G112" s="55" t="s">
        <v>136</v>
      </c>
      <c r="H112" s="53" t="s">
        <v>311</v>
      </c>
      <c r="I112" s="55" t="s">
        <v>308</v>
      </c>
      <c r="J112" s="53">
        <v>40</v>
      </c>
      <c r="K112" s="56">
        <v>11.818181818181801</v>
      </c>
      <c r="L112" s="57">
        <v>1.43</v>
      </c>
      <c r="M112" s="56">
        <f t="shared" si="4"/>
        <v>472.72727272727201</v>
      </c>
      <c r="N112" s="57">
        <f t="shared" si="5"/>
        <v>57.199999999999996</v>
      </c>
      <c r="O112" s="55">
        <v>84818095</v>
      </c>
      <c r="P112" s="58" t="s">
        <v>297</v>
      </c>
      <c r="Q112" s="59" t="s">
        <v>127</v>
      </c>
    </row>
    <row r="113" spans="1:17" s="2" customFormat="1" ht="31.5">
      <c r="A113" s="53">
        <v>95</v>
      </c>
      <c r="B113" s="53" t="s">
        <v>312</v>
      </c>
      <c r="C113" s="53" t="s">
        <v>313</v>
      </c>
      <c r="D113" s="54" t="s">
        <v>294</v>
      </c>
      <c r="E113" s="54"/>
      <c r="F113" s="53" t="s">
        <v>103</v>
      </c>
      <c r="G113" s="55" t="s">
        <v>136</v>
      </c>
      <c r="H113" s="53" t="s">
        <v>295</v>
      </c>
      <c r="I113" s="55" t="s">
        <v>308</v>
      </c>
      <c r="J113" s="53">
        <v>80</v>
      </c>
      <c r="K113" s="56">
        <v>24.19</v>
      </c>
      <c r="L113" s="57">
        <v>2.46</v>
      </c>
      <c r="M113" s="56">
        <f t="shared" ref="M113:M131" si="6">J113*K113</f>
        <v>1935.2</v>
      </c>
      <c r="N113" s="57">
        <f t="shared" ref="N113:N130" si="7">J113*L113</f>
        <v>196.8</v>
      </c>
      <c r="O113" s="55">
        <v>84818095</v>
      </c>
      <c r="P113" s="58" t="s">
        <v>297</v>
      </c>
      <c r="Q113" s="59" t="s">
        <v>127</v>
      </c>
    </row>
    <row r="114" spans="1:17" s="2" customFormat="1" ht="31.5">
      <c r="A114" s="53">
        <v>96</v>
      </c>
      <c r="B114" s="53" t="s">
        <v>314</v>
      </c>
      <c r="C114" s="53" t="s">
        <v>315</v>
      </c>
      <c r="D114" s="54" t="s">
        <v>294</v>
      </c>
      <c r="E114" s="54"/>
      <c r="F114" s="53" t="s">
        <v>83</v>
      </c>
      <c r="G114" s="55" t="s">
        <v>136</v>
      </c>
      <c r="H114" s="53" t="s">
        <v>316</v>
      </c>
      <c r="I114" s="55" t="s">
        <v>308</v>
      </c>
      <c r="J114" s="53">
        <v>140</v>
      </c>
      <c r="K114" s="56">
        <v>10.20790485</v>
      </c>
      <c r="L114" s="57">
        <v>0.86</v>
      </c>
      <c r="M114" s="56">
        <f t="shared" si="6"/>
        <v>1429.106679</v>
      </c>
      <c r="N114" s="57">
        <f t="shared" si="7"/>
        <v>120.39999999999999</v>
      </c>
      <c r="O114" s="55">
        <v>84818095</v>
      </c>
      <c r="P114" s="58" t="s">
        <v>317</v>
      </c>
      <c r="Q114" s="59" t="s">
        <v>127</v>
      </c>
    </row>
    <row r="115" spans="1:17" s="2" customFormat="1" ht="31.5">
      <c r="A115" s="53">
        <v>97</v>
      </c>
      <c r="B115" s="53" t="s">
        <v>318</v>
      </c>
      <c r="C115" s="53" t="s">
        <v>319</v>
      </c>
      <c r="D115" s="54" t="s">
        <v>294</v>
      </c>
      <c r="E115" s="54"/>
      <c r="F115" s="53" t="s">
        <v>83</v>
      </c>
      <c r="G115" s="55" t="s">
        <v>300</v>
      </c>
      <c r="H115" s="53" t="s">
        <v>304</v>
      </c>
      <c r="I115" s="55" t="s">
        <v>308</v>
      </c>
      <c r="J115" s="53">
        <v>12</v>
      </c>
      <c r="K115" s="56">
        <v>77.647058823529505</v>
      </c>
      <c r="L115" s="57">
        <v>7.04</v>
      </c>
      <c r="M115" s="56">
        <f t="shared" si="6"/>
        <v>931.76470588235406</v>
      </c>
      <c r="N115" s="57">
        <f t="shared" si="7"/>
        <v>84.48</v>
      </c>
      <c r="O115" s="55">
        <v>84818095</v>
      </c>
      <c r="P115" s="58" t="s">
        <v>317</v>
      </c>
      <c r="Q115" s="59" t="s">
        <v>127</v>
      </c>
    </row>
    <row r="116" spans="1:17" s="2" customFormat="1" ht="21">
      <c r="A116" s="53">
        <v>98</v>
      </c>
      <c r="B116" s="53" t="s">
        <v>320</v>
      </c>
      <c r="C116" s="53" t="s">
        <v>321</v>
      </c>
      <c r="D116" s="54" t="s">
        <v>322</v>
      </c>
      <c r="E116" s="54"/>
      <c r="F116" s="53" t="s">
        <v>323</v>
      </c>
      <c r="G116" s="55" t="s">
        <v>324</v>
      </c>
      <c r="H116" s="53" t="s">
        <v>46</v>
      </c>
      <c r="I116" s="55" t="s">
        <v>168</v>
      </c>
      <c r="J116" s="53">
        <v>250</v>
      </c>
      <c r="K116" s="56">
        <v>6.7041000000000004</v>
      </c>
      <c r="L116" s="57">
        <v>0.46</v>
      </c>
      <c r="M116" s="56">
        <f t="shared" si="6"/>
        <v>1676.0250000000001</v>
      </c>
      <c r="N116" s="57">
        <f t="shared" si="7"/>
        <v>115</v>
      </c>
      <c r="O116" s="55">
        <v>84818094</v>
      </c>
      <c r="P116" s="58" t="s">
        <v>325</v>
      </c>
      <c r="Q116" s="59" t="s">
        <v>326</v>
      </c>
    </row>
    <row r="117" spans="1:17" s="2" customFormat="1" ht="21">
      <c r="A117" s="53">
        <v>99</v>
      </c>
      <c r="B117" s="53" t="s">
        <v>327</v>
      </c>
      <c r="C117" s="53" t="s">
        <v>328</v>
      </c>
      <c r="D117" s="54" t="s">
        <v>322</v>
      </c>
      <c r="E117" s="54"/>
      <c r="F117" s="53" t="s">
        <v>323</v>
      </c>
      <c r="G117" s="55" t="s">
        <v>324</v>
      </c>
      <c r="H117" s="53" t="s">
        <v>52</v>
      </c>
      <c r="I117" s="55" t="s">
        <v>168</v>
      </c>
      <c r="J117" s="53">
        <v>40</v>
      </c>
      <c r="K117" s="56">
        <v>11.137382608695701</v>
      </c>
      <c r="L117" s="57">
        <v>0.91</v>
      </c>
      <c r="M117" s="56">
        <f t="shared" si="6"/>
        <v>445.49530434782804</v>
      </c>
      <c r="N117" s="57">
        <f t="shared" si="7"/>
        <v>36.4</v>
      </c>
      <c r="O117" s="55">
        <v>84818094</v>
      </c>
      <c r="P117" s="58" t="s">
        <v>325</v>
      </c>
      <c r="Q117" s="59" t="s">
        <v>326</v>
      </c>
    </row>
    <row r="118" spans="1:17" s="2" customFormat="1" ht="21">
      <c r="A118" s="53">
        <v>100</v>
      </c>
      <c r="B118" s="53" t="s">
        <v>329</v>
      </c>
      <c r="C118" s="53" t="s">
        <v>330</v>
      </c>
      <c r="D118" s="54" t="s">
        <v>322</v>
      </c>
      <c r="E118" s="54"/>
      <c r="F118" s="53" t="s">
        <v>331</v>
      </c>
      <c r="G118" s="55" t="s">
        <v>324</v>
      </c>
      <c r="H118" s="53" t="s">
        <v>46</v>
      </c>
      <c r="I118" s="55" t="s">
        <v>168</v>
      </c>
      <c r="J118" s="53">
        <v>140</v>
      </c>
      <c r="K118" s="56">
        <v>6.7850640000000002</v>
      </c>
      <c r="L118" s="57">
        <v>0.46</v>
      </c>
      <c r="M118" s="56">
        <f t="shared" si="6"/>
        <v>949.90895999999998</v>
      </c>
      <c r="N118" s="57">
        <f t="shared" si="7"/>
        <v>64.400000000000006</v>
      </c>
      <c r="O118" s="55">
        <v>84818094</v>
      </c>
      <c r="P118" s="58" t="s">
        <v>332</v>
      </c>
      <c r="Q118" s="59" t="s">
        <v>326</v>
      </c>
    </row>
    <row r="119" spans="1:17" s="2" customFormat="1" ht="21">
      <c r="A119" s="53">
        <v>101</v>
      </c>
      <c r="B119" s="53" t="s">
        <v>333</v>
      </c>
      <c r="C119" s="53" t="s">
        <v>334</v>
      </c>
      <c r="D119" s="54" t="s">
        <v>335</v>
      </c>
      <c r="E119" s="54"/>
      <c r="F119" s="53" t="s">
        <v>44</v>
      </c>
      <c r="G119" s="55" t="s">
        <v>284</v>
      </c>
      <c r="H119" s="53" t="s">
        <v>65</v>
      </c>
      <c r="I119" s="55" t="s">
        <v>336</v>
      </c>
      <c r="J119" s="53">
        <v>90</v>
      </c>
      <c r="K119" s="56">
        <v>4.5625999999999998</v>
      </c>
      <c r="L119" s="57">
        <v>0.09</v>
      </c>
      <c r="M119" s="56">
        <f t="shared" si="6"/>
        <v>410.63399999999996</v>
      </c>
      <c r="N119" s="57">
        <f t="shared" si="7"/>
        <v>8.1</v>
      </c>
      <c r="O119" s="55">
        <v>84813000</v>
      </c>
      <c r="P119" s="58" t="s">
        <v>337</v>
      </c>
      <c r="Q119" s="59" t="s">
        <v>338</v>
      </c>
    </row>
    <row r="120" spans="1:17" s="2" customFormat="1" ht="21">
      <c r="A120" s="53">
        <v>102</v>
      </c>
      <c r="B120" s="53" t="s">
        <v>339</v>
      </c>
      <c r="C120" s="53" t="s">
        <v>340</v>
      </c>
      <c r="D120" s="54" t="s">
        <v>335</v>
      </c>
      <c r="E120" s="54"/>
      <c r="F120" s="53" t="s">
        <v>44</v>
      </c>
      <c r="G120" s="55" t="s">
        <v>284</v>
      </c>
      <c r="H120" s="53" t="s">
        <v>52</v>
      </c>
      <c r="I120" s="55" t="s">
        <v>336</v>
      </c>
      <c r="J120" s="53">
        <v>180</v>
      </c>
      <c r="K120" s="56">
        <v>5.8266</v>
      </c>
      <c r="L120" s="57">
        <v>0.14000000000000001</v>
      </c>
      <c r="M120" s="56">
        <f t="shared" si="6"/>
        <v>1048.788</v>
      </c>
      <c r="N120" s="57">
        <f t="shared" si="7"/>
        <v>25.200000000000003</v>
      </c>
      <c r="O120" s="55">
        <v>84813000</v>
      </c>
      <c r="P120" s="58" t="s">
        <v>337</v>
      </c>
      <c r="Q120" s="59" t="s">
        <v>338</v>
      </c>
    </row>
    <row r="121" spans="1:17" s="2" customFormat="1" ht="21">
      <c r="A121" s="53">
        <v>103</v>
      </c>
      <c r="B121" s="53" t="s">
        <v>341</v>
      </c>
      <c r="C121" s="53" t="s">
        <v>342</v>
      </c>
      <c r="D121" s="54" t="s">
        <v>335</v>
      </c>
      <c r="E121" s="54"/>
      <c r="F121" s="53" t="s">
        <v>44</v>
      </c>
      <c r="G121" s="55" t="s">
        <v>284</v>
      </c>
      <c r="H121" s="53" t="s">
        <v>108</v>
      </c>
      <c r="I121" s="55" t="s">
        <v>336</v>
      </c>
      <c r="J121" s="53">
        <v>200</v>
      </c>
      <c r="K121" s="56">
        <v>6.5118999999999998</v>
      </c>
      <c r="L121" s="57">
        <v>0.25</v>
      </c>
      <c r="M121" s="56">
        <f t="shared" si="6"/>
        <v>1302.3799999999999</v>
      </c>
      <c r="N121" s="57">
        <f t="shared" si="7"/>
        <v>50</v>
      </c>
      <c r="O121" s="55">
        <v>84813000</v>
      </c>
      <c r="P121" s="58" t="s">
        <v>337</v>
      </c>
      <c r="Q121" s="59" t="s">
        <v>338</v>
      </c>
    </row>
    <row r="122" spans="1:17" s="2" customFormat="1" ht="21">
      <c r="A122" s="53">
        <v>104</v>
      </c>
      <c r="B122" s="53" t="s">
        <v>343</v>
      </c>
      <c r="C122" s="53" t="s">
        <v>344</v>
      </c>
      <c r="D122" s="54" t="s">
        <v>335</v>
      </c>
      <c r="E122" s="54"/>
      <c r="F122" s="53" t="s">
        <v>44</v>
      </c>
      <c r="G122" s="55" t="s">
        <v>284</v>
      </c>
      <c r="H122" s="53" t="s">
        <v>61</v>
      </c>
      <c r="I122" s="55" t="s">
        <v>336</v>
      </c>
      <c r="J122" s="53">
        <v>35</v>
      </c>
      <c r="K122" s="56">
        <v>38.221102173913103</v>
      </c>
      <c r="L122" s="57">
        <v>3.2</v>
      </c>
      <c r="M122" s="56">
        <f t="shared" si="6"/>
        <v>1337.7385760869586</v>
      </c>
      <c r="N122" s="57">
        <f t="shared" si="7"/>
        <v>112</v>
      </c>
      <c r="O122" s="55">
        <v>84813000</v>
      </c>
      <c r="P122" s="58" t="s">
        <v>337</v>
      </c>
      <c r="Q122" s="59" t="s">
        <v>338</v>
      </c>
    </row>
    <row r="123" spans="1:17" s="2" customFormat="1" ht="21">
      <c r="A123" s="53">
        <v>105</v>
      </c>
      <c r="B123" s="53" t="s">
        <v>345</v>
      </c>
      <c r="C123" s="53" t="s">
        <v>346</v>
      </c>
      <c r="D123" s="54" t="s">
        <v>347</v>
      </c>
      <c r="E123" s="54"/>
      <c r="F123" s="53" t="s">
        <v>348</v>
      </c>
      <c r="G123" s="55" t="s">
        <v>284</v>
      </c>
      <c r="H123" s="53" t="s">
        <v>113</v>
      </c>
      <c r="I123" s="55" t="s">
        <v>336</v>
      </c>
      <c r="J123" s="53">
        <v>140</v>
      </c>
      <c r="K123" s="56">
        <v>11.88</v>
      </c>
      <c r="L123" s="57">
        <v>0.59</v>
      </c>
      <c r="M123" s="56">
        <f t="shared" si="6"/>
        <v>1663.2</v>
      </c>
      <c r="N123" s="57">
        <f t="shared" si="7"/>
        <v>82.6</v>
      </c>
      <c r="O123" s="55">
        <v>84813000</v>
      </c>
      <c r="P123" s="58" t="s">
        <v>349</v>
      </c>
      <c r="Q123" s="59" t="s">
        <v>338</v>
      </c>
    </row>
    <row r="124" spans="1:17" ht="18.75" customHeight="1">
      <c r="A124" s="53">
        <v>106</v>
      </c>
      <c r="B124" s="53" t="s">
        <v>350</v>
      </c>
      <c r="C124" s="53" t="s">
        <v>351</v>
      </c>
      <c r="D124" s="54" t="s">
        <v>347</v>
      </c>
      <c r="E124" s="54"/>
      <c r="F124" s="53" t="s">
        <v>348</v>
      </c>
      <c r="G124" s="55" t="s">
        <v>284</v>
      </c>
      <c r="H124" s="53" t="s">
        <v>58</v>
      </c>
      <c r="I124" s="55" t="s">
        <v>336</v>
      </c>
      <c r="J124" s="53">
        <v>40</v>
      </c>
      <c r="K124" s="56">
        <v>14.310499999999999</v>
      </c>
      <c r="L124" s="57">
        <v>0.92200000000000004</v>
      </c>
      <c r="M124" s="56">
        <f t="shared" si="6"/>
        <v>572.41999999999996</v>
      </c>
      <c r="N124" s="57">
        <f t="shared" si="7"/>
        <v>36.880000000000003</v>
      </c>
      <c r="O124" s="55">
        <v>84813000</v>
      </c>
      <c r="P124" s="58" t="s">
        <v>349</v>
      </c>
      <c r="Q124" s="59" t="s">
        <v>338</v>
      </c>
    </row>
    <row r="125" spans="1:17" ht="21">
      <c r="A125" s="53">
        <v>107</v>
      </c>
      <c r="B125" s="53" t="s">
        <v>352</v>
      </c>
      <c r="C125" s="53" t="s">
        <v>353</v>
      </c>
      <c r="D125" s="54" t="s">
        <v>347</v>
      </c>
      <c r="E125" s="54"/>
      <c r="F125" s="53" t="s">
        <v>348</v>
      </c>
      <c r="G125" s="55" t="s">
        <v>284</v>
      </c>
      <c r="H125" s="53" t="s">
        <v>154</v>
      </c>
      <c r="I125" s="55" t="s">
        <v>336</v>
      </c>
      <c r="J125" s="53">
        <v>40</v>
      </c>
      <c r="K125" s="56">
        <v>20.859472173913101</v>
      </c>
      <c r="L125" s="57">
        <v>1.62</v>
      </c>
      <c r="M125" s="56">
        <f t="shared" si="6"/>
        <v>834.37888695652407</v>
      </c>
      <c r="N125" s="57">
        <f t="shared" si="7"/>
        <v>64.800000000000011</v>
      </c>
      <c r="O125" s="55">
        <v>84813000</v>
      </c>
      <c r="P125" s="58" t="s">
        <v>349</v>
      </c>
      <c r="Q125" s="59" t="s">
        <v>338</v>
      </c>
    </row>
    <row r="126" spans="1:17" ht="21">
      <c r="A126" s="53">
        <v>108</v>
      </c>
      <c r="B126" s="53" t="s">
        <v>354</v>
      </c>
      <c r="C126" s="53" t="s">
        <v>355</v>
      </c>
      <c r="D126" s="54" t="s">
        <v>347</v>
      </c>
      <c r="E126" s="54"/>
      <c r="F126" s="53" t="s">
        <v>348</v>
      </c>
      <c r="G126" s="55" t="s">
        <v>284</v>
      </c>
      <c r="H126" s="53" t="s">
        <v>71</v>
      </c>
      <c r="I126" s="55" t="s">
        <v>336</v>
      </c>
      <c r="J126" s="53">
        <v>200</v>
      </c>
      <c r="K126" s="56">
        <v>28.3840855434782</v>
      </c>
      <c r="L126" s="57">
        <v>1.96</v>
      </c>
      <c r="M126" s="56">
        <f t="shared" si="6"/>
        <v>5676.8171086956399</v>
      </c>
      <c r="N126" s="57">
        <f t="shared" si="7"/>
        <v>392</v>
      </c>
      <c r="O126" s="55">
        <v>84813000</v>
      </c>
      <c r="P126" s="58" t="s">
        <v>349</v>
      </c>
      <c r="Q126" s="59" t="s">
        <v>338</v>
      </c>
    </row>
    <row r="127" spans="1:17" ht="21">
      <c r="A127" s="53">
        <v>109</v>
      </c>
      <c r="B127" s="53" t="s">
        <v>356</v>
      </c>
      <c r="C127" s="53" t="s">
        <v>357</v>
      </c>
      <c r="D127" s="54" t="s">
        <v>358</v>
      </c>
      <c r="E127" s="54"/>
      <c r="F127" s="53" t="s">
        <v>348</v>
      </c>
      <c r="G127" s="55" t="s">
        <v>45</v>
      </c>
      <c r="H127" s="53" t="s">
        <v>58</v>
      </c>
      <c r="I127" s="55" t="s">
        <v>336</v>
      </c>
      <c r="J127" s="53">
        <v>80</v>
      </c>
      <c r="K127" s="56">
        <v>36.600999999999999</v>
      </c>
      <c r="L127" s="57">
        <v>1.72</v>
      </c>
      <c r="M127" s="56">
        <f t="shared" si="6"/>
        <v>2928.08</v>
      </c>
      <c r="N127" s="57">
        <f t="shared" si="7"/>
        <v>137.6</v>
      </c>
      <c r="O127" s="55">
        <v>84813000</v>
      </c>
      <c r="P127" s="58" t="s">
        <v>359</v>
      </c>
      <c r="Q127" s="59" t="s">
        <v>338</v>
      </c>
    </row>
    <row r="128" spans="1:17" ht="21">
      <c r="A128" s="53">
        <v>110</v>
      </c>
      <c r="B128" s="53" t="s">
        <v>360</v>
      </c>
      <c r="C128" s="53" t="s">
        <v>361</v>
      </c>
      <c r="D128" s="54" t="s">
        <v>358</v>
      </c>
      <c r="E128" s="54"/>
      <c r="F128" s="53" t="s">
        <v>348</v>
      </c>
      <c r="G128" s="55" t="s">
        <v>45</v>
      </c>
      <c r="H128" s="53" t="s">
        <v>61</v>
      </c>
      <c r="I128" s="55" t="s">
        <v>336</v>
      </c>
      <c r="J128" s="53">
        <v>30</v>
      </c>
      <c r="K128" s="56">
        <v>78.077381818181806</v>
      </c>
      <c r="L128" s="57">
        <v>5.28</v>
      </c>
      <c r="M128" s="56">
        <f t="shared" si="6"/>
        <v>2342.3214545454543</v>
      </c>
      <c r="N128" s="57">
        <f t="shared" si="7"/>
        <v>158.4</v>
      </c>
      <c r="O128" s="55">
        <v>84813000</v>
      </c>
      <c r="P128" s="58" t="s">
        <v>359</v>
      </c>
      <c r="Q128" s="59" t="s">
        <v>338</v>
      </c>
    </row>
    <row r="129" spans="1:17" ht="20" customHeight="1">
      <c r="A129" s="53">
        <v>111</v>
      </c>
      <c r="B129" s="69" t="s">
        <v>362</v>
      </c>
      <c r="C129" s="70" t="s">
        <v>363</v>
      </c>
      <c r="D129" s="54" t="s">
        <v>364</v>
      </c>
      <c r="E129" s="54"/>
      <c r="F129" s="53" t="s">
        <v>348</v>
      </c>
      <c r="G129" s="55" t="s">
        <v>45</v>
      </c>
      <c r="H129" s="53" t="s">
        <v>71</v>
      </c>
      <c r="I129" s="55" t="s">
        <v>336</v>
      </c>
      <c r="J129" s="53">
        <v>15</v>
      </c>
      <c r="K129" s="56">
        <v>26.463195652174001</v>
      </c>
      <c r="L129" s="57">
        <v>1.407</v>
      </c>
      <c r="M129" s="56">
        <f t="shared" si="6"/>
        <v>396.94793478260999</v>
      </c>
      <c r="N129" s="57">
        <f t="shared" si="7"/>
        <v>21.105</v>
      </c>
      <c r="O129" s="55">
        <v>84813000</v>
      </c>
      <c r="P129" s="58" t="s">
        <v>365</v>
      </c>
      <c r="Q129" s="59" t="s">
        <v>338</v>
      </c>
    </row>
    <row r="130" spans="1:17" ht="18" customHeight="1">
      <c r="A130" s="53">
        <v>112</v>
      </c>
      <c r="B130" s="69" t="s">
        <v>366</v>
      </c>
      <c r="C130" s="70" t="s">
        <v>367</v>
      </c>
      <c r="D130" s="54" t="s">
        <v>364</v>
      </c>
      <c r="E130" s="54"/>
      <c r="F130" s="53" t="s">
        <v>348</v>
      </c>
      <c r="G130" s="55" t="s">
        <v>45</v>
      </c>
      <c r="H130" s="53" t="s">
        <v>368</v>
      </c>
      <c r="I130" s="55" t="s">
        <v>336</v>
      </c>
      <c r="J130" s="53">
        <v>5</v>
      </c>
      <c r="K130" s="56">
        <v>173.02858695652199</v>
      </c>
      <c r="L130" s="57">
        <v>7.5075000000000003</v>
      </c>
      <c r="M130" s="56">
        <f t="shared" si="6"/>
        <v>865.14293478260993</v>
      </c>
      <c r="N130" s="57">
        <f t="shared" si="7"/>
        <v>37.537500000000001</v>
      </c>
      <c r="O130" s="55">
        <v>84813000</v>
      </c>
      <c r="P130" s="58" t="s">
        <v>365</v>
      </c>
      <c r="Q130" s="59" t="s">
        <v>338</v>
      </c>
    </row>
    <row r="131" spans="1:17" ht="18" customHeight="1">
      <c r="A131" s="71">
        <v>113</v>
      </c>
      <c r="B131" s="71" t="s">
        <v>379</v>
      </c>
      <c r="C131" s="72"/>
      <c r="D131" s="72" t="s">
        <v>369</v>
      </c>
      <c r="E131" s="72"/>
      <c r="F131" s="72" t="s">
        <v>370</v>
      </c>
      <c r="G131" s="73" t="s">
        <v>371</v>
      </c>
      <c r="H131" s="71" t="s">
        <v>65</v>
      </c>
      <c r="I131" s="73" t="s">
        <v>168</v>
      </c>
      <c r="J131" s="71">
        <v>100</v>
      </c>
      <c r="K131" s="74">
        <v>19.02</v>
      </c>
      <c r="L131" s="75">
        <v>1.67</v>
      </c>
      <c r="M131" s="74">
        <f t="shared" si="6"/>
        <v>1902</v>
      </c>
      <c r="N131" s="75">
        <f t="shared" ref="N131:N135" si="8">J131*L131</f>
        <v>167</v>
      </c>
      <c r="O131" s="73">
        <v>84818095</v>
      </c>
      <c r="P131" s="119" t="s">
        <v>378</v>
      </c>
      <c r="Q131" s="59"/>
    </row>
    <row r="132" spans="1:17" ht="18" customHeight="1">
      <c r="A132" s="71">
        <v>114</v>
      </c>
      <c r="B132" s="71" t="s">
        <v>380</v>
      </c>
      <c r="C132" s="72"/>
      <c r="D132" s="72" t="s">
        <v>369</v>
      </c>
      <c r="E132" s="72"/>
      <c r="F132" s="72" t="s">
        <v>370</v>
      </c>
      <c r="G132" s="73" t="s">
        <v>371</v>
      </c>
      <c r="H132" s="71" t="s">
        <v>52</v>
      </c>
      <c r="I132" s="73" t="s">
        <v>168</v>
      </c>
      <c r="J132" s="71">
        <v>50</v>
      </c>
      <c r="K132" s="74">
        <v>23.72</v>
      </c>
      <c r="L132" s="75">
        <v>2.39</v>
      </c>
      <c r="M132" s="74">
        <f t="shared" ref="M132:M135" si="9">J132*K132</f>
        <v>1186</v>
      </c>
      <c r="N132" s="75">
        <f t="shared" si="8"/>
        <v>119.5</v>
      </c>
      <c r="O132" s="73">
        <v>84818095</v>
      </c>
      <c r="P132" s="119" t="s">
        <v>378</v>
      </c>
      <c r="Q132" s="59"/>
    </row>
    <row r="133" spans="1:17" ht="18" customHeight="1">
      <c r="A133" s="71">
        <v>115</v>
      </c>
      <c r="B133" s="71" t="s">
        <v>381</v>
      </c>
      <c r="C133" s="72"/>
      <c r="D133" s="72" t="s">
        <v>369</v>
      </c>
      <c r="E133" s="72"/>
      <c r="F133" s="72" t="s">
        <v>370</v>
      </c>
      <c r="G133" s="73" t="s">
        <v>371</v>
      </c>
      <c r="H133" s="71" t="s">
        <v>108</v>
      </c>
      <c r="I133" s="73" t="s">
        <v>168</v>
      </c>
      <c r="J133" s="71">
        <v>50</v>
      </c>
      <c r="K133" s="74">
        <v>28.47</v>
      </c>
      <c r="L133" s="75">
        <v>3.82</v>
      </c>
      <c r="M133" s="74">
        <f t="shared" si="9"/>
        <v>1423.5</v>
      </c>
      <c r="N133" s="75">
        <f t="shared" si="8"/>
        <v>191</v>
      </c>
      <c r="O133" s="73">
        <v>84818095</v>
      </c>
      <c r="P133" s="119" t="s">
        <v>378</v>
      </c>
      <c r="Q133" s="59"/>
    </row>
    <row r="134" spans="1:17" ht="18" customHeight="1">
      <c r="A134" s="71">
        <v>116</v>
      </c>
      <c r="B134" s="71" t="s">
        <v>382</v>
      </c>
      <c r="C134" s="72"/>
      <c r="D134" s="72" t="s">
        <v>369</v>
      </c>
      <c r="E134" s="72"/>
      <c r="F134" s="72" t="s">
        <v>370</v>
      </c>
      <c r="G134" s="73" t="s">
        <v>371</v>
      </c>
      <c r="H134" s="71" t="s">
        <v>55</v>
      </c>
      <c r="I134" s="73" t="s">
        <v>168</v>
      </c>
      <c r="J134" s="71">
        <v>10</v>
      </c>
      <c r="K134" s="74">
        <v>42.22</v>
      </c>
      <c r="L134" s="75">
        <v>5.55</v>
      </c>
      <c r="M134" s="74">
        <f t="shared" si="9"/>
        <v>422.2</v>
      </c>
      <c r="N134" s="75">
        <f t="shared" si="8"/>
        <v>55.5</v>
      </c>
      <c r="O134" s="73">
        <v>84818095</v>
      </c>
      <c r="P134" s="119" t="s">
        <v>378</v>
      </c>
      <c r="Q134" s="59"/>
    </row>
    <row r="135" spans="1:17" ht="18" customHeight="1">
      <c r="A135" s="71">
        <v>117</v>
      </c>
      <c r="B135" s="71" t="s">
        <v>383</v>
      </c>
      <c r="C135" s="72"/>
      <c r="D135" s="72" t="s">
        <v>369</v>
      </c>
      <c r="E135" s="72"/>
      <c r="F135" s="72" t="s">
        <v>370</v>
      </c>
      <c r="G135" s="73" t="s">
        <v>371</v>
      </c>
      <c r="H135" s="71" t="s">
        <v>113</v>
      </c>
      <c r="I135" s="73" t="s">
        <v>168</v>
      </c>
      <c r="J135" s="71">
        <v>30</v>
      </c>
      <c r="K135" s="74">
        <v>52.18</v>
      </c>
      <c r="L135" s="75">
        <v>8.18</v>
      </c>
      <c r="M135" s="74">
        <f t="shared" si="9"/>
        <v>1565.4</v>
      </c>
      <c r="N135" s="75">
        <f t="shared" si="8"/>
        <v>245.39999999999998</v>
      </c>
      <c r="O135" s="73">
        <v>84818095</v>
      </c>
      <c r="P135" s="119" t="s">
        <v>378</v>
      </c>
      <c r="Q135" s="59"/>
    </row>
    <row r="136" spans="1:17" ht="18" customHeight="1">
      <c r="A136" s="71">
        <v>118</v>
      </c>
      <c r="B136" s="76" t="s">
        <v>384</v>
      </c>
      <c r="C136" s="77"/>
      <c r="D136" s="72" t="s">
        <v>369</v>
      </c>
      <c r="E136" s="72"/>
      <c r="F136" s="78" t="s">
        <v>370</v>
      </c>
      <c r="G136" s="79" t="s">
        <v>371</v>
      </c>
      <c r="H136" s="79" t="s">
        <v>58</v>
      </c>
      <c r="I136" s="73" t="s">
        <v>168</v>
      </c>
      <c r="J136" s="80">
        <v>30</v>
      </c>
      <c r="K136" s="81">
        <v>74.38</v>
      </c>
      <c r="L136" s="82">
        <v>9.99</v>
      </c>
      <c r="M136" s="74">
        <f>J136*K136</f>
        <v>2231.3999999999996</v>
      </c>
      <c r="N136" s="75">
        <f>J136*L136</f>
        <v>299.7</v>
      </c>
      <c r="O136" s="79">
        <v>84818095</v>
      </c>
      <c r="P136" s="119" t="s">
        <v>378</v>
      </c>
      <c r="Q136" s="59"/>
    </row>
    <row r="137" spans="1:17" ht="18" customHeight="1">
      <c r="A137" s="71">
        <v>119</v>
      </c>
      <c r="B137" s="76" t="s">
        <v>292</v>
      </c>
      <c r="C137" s="77"/>
      <c r="D137" s="72" t="s">
        <v>294</v>
      </c>
      <c r="E137" s="72" t="s">
        <v>389</v>
      </c>
      <c r="F137" s="78" t="s">
        <v>103</v>
      </c>
      <c r="G137" s="79" t="s">
        <v>136</v>
      </c>
      <c r="H137" s="79" t="s">
        <v>390</v>
      </c>
      <c r="I137" s="73" t="s">
        <v>296</v>
      </c>
      <c r="J137" s="80">
        <v>50</v>
      </c>
      <c r="K137" s="81">
        <v>24.25</v>
      </c>
      <c r="L137" s="82">
        <v>2.46</v>
      </c>
      <c r="M137" s="74">
        <f t="shared" ref="M137:M142" si="10">J137*K137</f>
        <v>1212.5</v>
      </c>
      <c r="N137" s="75">
        <f t="shared" ref="N137:N142" si="11">J137*L137</f>
        <v>123</v>
      </c>
      <c r="O137" s="79">
        <v>84818095</v>
      </c>
      <c r="P137" s="119"/>
      <c r="Q137" s="59"/>
    </row>
    <row r="138" spans="1:17" ht="18" customHeight="1">
      <c r="A138" s="71">
        <v>120</v>
      </c>
      <c r="B138" s="76" t="s">
        <v>302</v>
      </c>
      <c r="C138" s="77"/>
      <c r="D138" s="72" t="s">
        <v>294</v>
      </c>
      <c r="E138" s="72" t="s">
        <v>389</v>
      </c>
      <c r="F138" s="78" t="s">
        <v>103</v>
      </c>
      <c r="G138" s="79" t="s">
        <v>300</v>
      </c>
      <c r="H138" s="79" t="s">
        <v>390</v>
      </c>
      <c r="I138" s="73" t="s">
        <v>296</v>
      </c>
      <c r="J138" s="80">
        <v>20</v>
      </c>
      <c r="K138" s="81">
        <v>64.17</v>
      </c>
      <c r="L138" s="82">
        <v>7.04</v>
      </c>
      <c r="M138" s="74">
        <f t="shared" si="10"/>
        <v>1283.4000000000001</v>
      </c>
      <c r="N138" s="75">
        <f t="shared" si="11"/>
        <v>140.80000000000001</v>
      </c>
      <c r="O138" s="79">
        <v>84818095</v>
      </c>
      <c r="P138" s="119"/>
      <c r="Q138" s="59"/>
    </row>
    <row r="139" spans="1:17" ht="18" customHeight="1">
      <c r="A139" s="71">
        <v>121</v>
      </c>
      <c r="B139" s="76" t="s">
        <v>385</v>
      </c>
      <c r="C139" s="77"/>
      <c r="D139" s="72" t="s">
        <v>294</v>
      </c>
      <c r="E139" s="72" t="s">
        <v>389</v>
      </c>
      <c r="F139" s="78" t="s">
        <v>103</v>
      </c>
      <c r="G139" s="79" t="s">
        <v>300</v>
      </c>
      <c r="H139" s="79" t="s">
        <v>390</v>
      </c>
      <c r="I139" s="73" t="s">
        <v>296</v>
      </c>
      <c r="J139" s="80">
        <v>15</v>
      </c>
      <c r="K139" s="81">
        <v>103.64</v>
      </c>
      <c r="L139" s="82">
        <v>11.27</v>
      </c>
      <c r="M139" s="74">
        <f t="shared" si="10"/>
        <v>1554.6</v>
      </c>
      <c r="N139" s="75">
        <f t="shared" si="11"/>
        <v>169.04999999999998</v>
      </c>
      <c r="O139" s="79">
        <v>84818095</v>
      </c>
      <c r="P139" s="119"/>
      <c r="Q139" s="59"/>
    </row>
    <row r="140" spans="1:17" ht="18" customHeight="1">
      <c r="A140" s="71">
        <v>122</v>
      </c>
      <c r="B140" s="76" t="s">
        <v>386</v>
      </c>
      <c r="C140" s="77"/>
      <c r="D140" s="72" t="s">
        <v>294</v>
      </c>
      <c r="E140" s="72" t="s">
        <v>391</v>
      </c>
      <c r="F140" s="78" t="s">
        <v>83</v>
      </c>
      <c r="G140" s="79" t="s">
        <v>300</v>
      </c>
      <c r="H140" s="79" t="s">
        <v>390</v>
      </c>
      <c r="I140" s="73" t="s">
        <v>296</v>
      </c>
      <c r="J140" s="80">
        <v>20</v>
      </c>
      <c r="K140" s="81">
        <v>73.08</v>
      </c>
      <c r="L140" s="82">
        <v>7.04</v>
      </c>
      <c r="M140" s="74">
        <f t="shared" si="10"/>
        <v>1461.6</v>
      </c>
      <c r="N140" s="75">
        <f t="shared" si="11"/>
        <v>140.80000000000001</v>
      </c>
      <c r="O140" s="79">
        <v>84818095</v>
      </c>
      <c r="P140" s="119"/>
      <c r="Q140" s="59"/>
    </row>
    <row r="141" spans="1:17" ht="18" customHeight="1">
      <c r="A141" s="71">
        <v>123</v>
      </c>
      <c r="B141" s="76" t="s">
        <v>387</v>
      </c>
      <c r="C141" s="77"/>
      <c r="D141" s="72" t="s">
        <v>392</v>
      </c>
      <c r="E141" s="72" t="s">
        <v>389</v>
      </c>
      <c r="F141" s="78" t="s">
        <v>103</v>
      </c>
      <c r="G141" s="79" t="s">
        <v>300</v>
      </c>
      <c r="H141" s="79" t="s">
        <v>304</v>
      </c>
      <c r="I141" s="73" t="s">
        <v>296</v>
      </c>
      <c r="J141" s="80">
        <v>40</v>
      </c>
      <c r="K141" s="81">
        <v>76.459999999999994</v>
      </c>
      <c r="L141" s="82">
        <v>8.3000000000000007</v>
      </c>
      <c r="M141" s="74">
        <f t="shared" si="10"/>
        <v>3058.3999999999996</v>
      </c>
      <c r="N141" s="75">
        <f t="shared" si="11"/>
        <v>332</v>
      </c>
      <c r="O141" s="79">
        <v>84818095</v>
      </c>
      <c r="P141" s="119"/>
      <c r="Q141" s="59"/>
    </row>
    <row r="142" spans="1:17" ht="18" customHeight="1">
      <c r="A142" s="71">
        <v>124</v>
      </c>
      <c r="B142" s="76" t="s">
        <v>388</v>
      </c>
      <c r="C142" s="77"/>
      <c r="D142" s="72" t="s">
        <v>392</v>
      </c>
      <c r="E142" s="72" t="s">
        <v>391</v>
      </c>
      <c r="F142" s="78" t="s">
        <v>83</v>
      </c>
      <c r="G142" s="79" t="s">
        <v>300</v>
      </c>
      <c r="H142" s="79" t="s">
        <v>304</v>
      </c>
      <c r="I142" s="73" t="s">
        <v>296</v>
      </c>
      <c r="J142" s="80">
        <v>5</v>
      </c>
      <c r="K142" s="81">
        <v>88.33</v>
      </c>
      <c r="L142" s="82">
        <v>8.3000000000000007</v>
      </c>
      <c r="M142" s="74">
        <f t="shared" si="10"/>
        <v>441.65</v>
      </c>
      <c r="N142" s="75">
        <f t="shared" si="11"/>
        <v>41.5</v>
      </c>
      <c r="O142" s="79">
        <v>84818095</v>
      </c>
      <c r="P142" s="119"/>
      <c r="Q142" s="59"/>
    </row>
    <row r="143" spans="1:17" ht="18.5" customHeight="1">
      <c r="A143" s="83"/>
      <c r="C143" s="84"/>
      <c r="D143" s="85"/>
      <c r="E143" s="141"/>
      <c r="F143" s="136" t="s">
        <v>372</v>
      </c>
      <c r="G143" s="136"/>
      <c r="H143" s="136"/>
      <c r="I143" s="84"/>
      <c r="J143" s="84"/>
      <c r="K143" s="84"/>
      <c r="L143" s="86"/>
      <c r="M143" s="87">
        <v>-755.22</v>
      </c>
      <c r="N143" s="88"/>
      <c r="O143" s="89"/>
      <c r="P143" s="90"/>
      <c r="Q143" s="2"/>
    </row>
    <row r="144" spans="1:17" ht="18.5">
      <c r="B144" s="137" t="s">
        <v>373</v>
      </c>
      <c r="C144" s="138"/>
      <c r="D144" s="138"/>
      <c r="E144" s="138"/>
      <c r="F144" s="138"/>
      <c r="G144" s="138"/>
      <c r="H144" s="138"/>
      <c r="I144" s="138"/>
      <c r="J144" s="91"/>
      <c r="K144" s="92"/>
      <c r="L144" s="93"/>
      <c r="M144" s="94">
        <f>SUM(M12:M143)</f>
        <v>230502.5801596278</v>
      </c>
      <c r="N144" s="95">
        <f>SUM(N19:N136)</f>
        <v>27074.978500000001</v>
      </c>
      <c r="O144" s="96"/>
      <c r="P144" s="2"/>
      <c r="Q144" s="2"/>
    </row>
    <row r="145" spans="1:17" ht="18.5">
      <c r="B145" s="97"/>
      <c r="C145" s="97"/>
      <c r="D145" s="97"/>
      <c r="E145" s="97"/>
      <c r="F145" s="97"/>
      <c r="G145" s="97"/>
      <c r="H145" s="97"/>
      <c r="I145" s="97"/>
      <c r="K145" s="98"/>
      <c r="L145" s="99"/>
      <c r="M145" s="100"/>
      <c r="N145" s="101"/>
      <c r="O145" s="102"/>
      <c r="P145" s="2"/>
      <c r="Q145" s="2"/>
    </row>
    <row r="146" spans="1:17">
      <c r="A146" s="103" t="s">
        <v>374</v>
      </c>
      <c r="H146" s="104"/>
      <c r="I146" s="104"/>
      <c r="J146" s="105"/>
      <c r="K146" s="106"/>
      <c r="L146" s="107"/>
      <c r="M146" s="108"/>
      <c r="O146" s="109"/>
      <c r="P146" s="2"/>
    </row>
    <row r="147" spans="1:17">
      <c r="A147" s="103" t="s">
        <v>375</v>
      </c>
      <c r="B147" s="4"/>
      <c r="C147" s="4"/>
      <c r="F147" s="4"/>
      <c r="G147" s="4"/>
      <c r="H147" s="4"/>
      <c r="I147" s="4"/>
      <c r="L147" s="110"/>
      <c r="O147" s="109"/>
      <c r="P147" s="2"/>
    </row>
    <row r="148" spans="1:17">
      <c r="A148" s="111" t="s">
        <v>376</v>
      </c>
      <c r="B148" s="112"/>
      <c r="C148" s="112"/>
      <c r="D148" s="113"/>
      <c r="E148" s="113"/>
      <c r="F148" s="112"/>
      <c r="G148" s="112"/>
      <c r="H148" s="112"/>
      <c r="I148" s="112"/>
      <c r="J148" s="114"/>
      <c r="K148" s="115"/>
      <c r="L148" s="116"/>
      <c r="M148" s="115" t="s">
        <v>377</v>
      </c>
      <c r="N148" s="117"/>
      <c r="O148" s="118"/>
      <c r="P148" s="2"/>
    </row>
  </sheetData>
  <sheetProtection formatCells="0" insertHyperlinks="0" autoFilter="0"/>
  <sortState xmlns:xlrd2="http://schemas.microsoft.com/office/spreadsheetml/2017/richdata2" ref="A19:Q130">
    <sortCondition ref="Q19:Q130"/>
    <sortCondition ref="B19:B130"/>
  </sortState>
  <mergeCells count="11">
    <mergeCell ref="A15:L15"/>
    <mergeCell ref="F143:H143"/>
    <mergeCell ref="B144:I144"/>
    <mergeCell ref="A5:K6"/>
    <mergeCell ref="A7:G9"/>
    <mergeCell ref="A1:P1"/>
    <mergeCell ref="A2:P2"/>
    <mergeCell ref="A10:L10"/>
    <mergeCell ref="N13:O13"/>
    <mergeCell ref="D14:I14"/>
    <mergeCell ref="A3:G4"/>
  </mergeCells>
  <conditionalFormatting sqref="B128:C128">
    <cfRule type="duplicateValues" dxfId="1" priority="2"/>
  </conditionalFormatting>
  <conditionalFormatting sqref="B124:C127 B129:C142">
    <cfRule type="duplicateValues" dxfId="0" priority="5"/>
  </conditionalFormatting>
  <printOptions horizontalCentered="1"/>
  <pageMargins left="0.23622047244094499" right="0" top="0.74803149606299202" bottom="0.74803149606299202" header="0.31496062992126" footer="0.31496062992126"/>
  <pageSetup paperSize="9" scale="68" fitToHeight="0" orientation="portrait"/>
  <headerFooter alignWithMargins="0">
    <oddFooter>&amp;L&amp;"Arial,常规"&amp;10&amp;D&amp;C&amp;"Arial,常规"&amp;10&amp;P/&amp;N&amp;R&amp;"Arial,常规"&amp;9WENZHOU LEINA VALVE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defaultColWidth="9" defaultRowHeight="1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Proforma Invoice</vt:lpstr>
      <vt:lpstr>Folha1</vt:lpstr>
      <vt:lpstr>'Proforma Invoice'!Área_de_Impressão</vt:lpstr>
      <vt:lpstr>'Proforma Invoice'!Títulos_de_Impressão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import plasnox</cp:lastModifiedBy>
  <cp:lastPrinted>2025-10-23T18:58:00Z</cp:lastPrinted>
  <dcterms:created xsi:type="dcterms:W3CDTF">2017-01-28T04:57:00Z</dcterms:created>
  <dcterms:modified xsi:type="dcterms:W3CDTF">2026-03-31T11:14:22Z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F5A8855DF9B8458DAEF37044EED21F50_13</vt:lpwstr>
  </property>
  <property fmtid="{D5CDD505-2E9C-101B-9397-08002B2CF9AE}" pid="4" name="CalculationRule">
    <vt:i4>0</vt:i4>
  </property>
</Properties>
</file>
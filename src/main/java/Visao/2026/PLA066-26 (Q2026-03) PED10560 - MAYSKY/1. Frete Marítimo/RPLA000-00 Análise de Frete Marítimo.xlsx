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P:\Comercial Metalurgico\Metal Marcos\2. Processos de Importação\6. Modelos e Informações\"/>
    </mc:Choice>
  </mc:AlternateContent>
  <xr:revisionPtr revIDLastSave="0" documentId="13_ncr:1_{CFF71806-D617-4E8D-A1D5-2D1E2430EF3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nálise de Frete" sheetId="1" r:id="rId1"/>
    <sheet name="Configurações" sheetId="2" r:id="rId2"/>
  </sheets>
  <definedNames>
    <definedName name="Base_Container">'Análise de Frete'!$D$2</definedName>
    <definedName name="Base_Dolar">'Análise de Frete'!$I$6</definedName>
    <definedName name="Base_Euro">'Análise de Frete'!$J$6</definedName>
    <definedName name="ListBox_Agente">Banco_Agente[AGENTE DE CARGAS]</definedName>
    <definedName name="ListBox_Container">Banco_Container[CONTAINER]</definedName>
    <definedName name="ListBox_Porto">Banco_Porto[PORTO DESTINO]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L9" i="1"/>
  <c r="L13" i="1"/>
  <c r="L10" i="1"/>
  <c r="L16" i="1"/>
  <c r="L11" i="1"/>
  <c r="L14" i="1" l="1"/>
  <c r="L12" i="1"/>
  <c r="L15" i="1"/>
  <c r="F4" i="1"/>
  <c r="F5" i="1" s="1"/>
  <c r="E4" i="1"/>
  <c r="E5" i="1" s="1"/>
</calcChain>
</file>

<file path=xl/sharedStrings.xml><?xml version="1.0" encoding="utf-8"?>
<sst xmlns="http://schemas.openxmlformats.org/spreadsheetml/2006/main" count="84" uniqueCount="43">
  <si>
    <t>REVISÃO</t>
  </si>
  <si>
    <t>CONTAINER</t>
  </si>
  <si>
    <t>TIPO</t>
  </si>
  <si>
    <t>PORTO DESTINO</t>
  </si>
  <si>
    <t>AGENTE DE CARGAS</t>
  </si>
  <si>
    <t>VALOR FRETE (USD)</t>
  </si>
  <si>
    <t>VALOR FRETE (EUR)</t>
  </si>
  <si>
    <t>VALOR FRETE (BRL)</t>
  </si>
  <si>
    <t>VALOR TOTAL FRETE (BRL)</t>
  </si>
  <si>
    <t>FREE TIME</t>
  </si>
  <si>
    <t>DATA FECHAMENTO</t>
  </si>
  <si>
    <t>Asia Shipping</t>
  </si>
  <si>
    <t>Next Shipping</t>
  </si>
  <si>
    <t>Tex Shipping</t>
  </si>
  <si>
    <t>Save Log</t>
  </si>
  <si>
    <t>Sky Marine</t>
  </si>
  <si>
    <t>NAVEGANTES</t>
  </si>
  <si>
    <t>ITAPOÁ</t>
  </si>
  <si>
    <t>TRANSIT TIME</t>
  </si>
  <si>
    <t>DATA INÍCIO</t>
  </si>
  <si>
    <t>CÂMBIO</t>
  </si>
  <si>
    <t>USD</t>
  </si>
  <si>
    <t>EUR</t>
  </si>
  <si>
    <t>-</t>
  </si>
  <si>
    <t>FCL</t>
  </si>
  <si>
    <t>20DRY(GP)</t>
  </si>
  <si>
    <t>40HC</t>
  </si>
  <si>
    <t>NÚM.</t>
  </si>
  <si>
    <t>TONS</t>
  </si>
  <si>
    <t>M3</t>
  </si>
  <si>
    <t>20HC</t>
  </si>
  <si>
    <t>20NOR</t>
  </si>
  <si>
    <t>40DRY(GP)</t>
  </si>
  <si>
    <t>40NOR</t>
  </si>
  <si>
    <t xml:space="preserve">NÚM. </t>
  </si>
  <si>
    <t>ITAJAÍ</t>
  </si>
  <si>
    <t>M³</t>
  </si>
  <si>
    <t>Valor Estimado Frete LCL (USD)</t>
  </si>
  <si>
    <t>Frete Médio por Medida (USD)</t>
  </si>
  <si>
    <t>MEDIDAS INVOICE</t>
  </si>
  <si>
    <t>CONTAINER ANÁLISE</t>
  </si>
  <si>
    <t>CSS Logística</t>
  </si>
  <si>
    <t>VAR.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</si>
</sst>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€-2]\ * #,##0.00_-;\-[$€-2]\ * #,##0.00_-;_-[$€-2]\ * &quot;-&quot;??_-;_-@_-"/>
    <numFmt numFmtId="165" formatCode="_-[$R$-416]\ * #,##0.00_-;\-[$R$-416]\ * #,##0.00_-;_-[$R$-416]\ * &quot;-&quot;??_-;_-@_-"/>
    <numFmt numFmtId="166" formatCode="_-[$$-409]* #,##0.00_ ;_-[$$-409]* \-#,##0.00\ ;_-[$$-409]* &quot;-&quot;??_ ;_-@_ "/>
    <numFmt numFmtId="167" formatCode="0.000"/>
    <numFmt numFmtId="168" formatCode="0.0"/>
    <numFmt numFmtId="169" formatCode="0.0%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b/>
      <u/>
      <sz val="8"/>
      <color theme="1"/>
      <name val="Aptos Narrow"/>
      <family val="2"/>
    </font>
    <font>
      <b/>
      <sz val="11"/>
      <color theme="1"/>
      <name val="Aptos Narrow"/>
      <family val="2"/>
    </font>
    <font>
      <b/>
      <sz val="9"/>
      <color rgb="FFFF0000"/>
      <name val="Aptos Narrow"/>
      <family val="2"/>
    </font>
    <font>
      <sz val="9"/>
      <color theme="1"/>
      <name val="Aptos Narrow"/>
      <family val="2"/>
    </font>
    <font>
      <sz val="10"/>
      <color theme="8"/>
      <name val="Aptos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9" fontId="2" fillId="0" borderId="0" xfId="1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42">
    <dxf>
      <border>
        <top style="thin">
          <color auto="1"/>
        </top>
        <bottom/>
        <vertical/>
        <horizontal/>
      </border>
    </dxf>
    <dxf>
      <border>
        <top style="thin">
          <color auto="1"/>
        </top>
        <bottom/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</dxf>
    <dxf>
      <border>
        <top style="thin">
          <color auto="1"/>
        </top>
        <bottom/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</dxf>
    <dxf>
      <border>
        <top style="thin">
          <color auto="1"/>
        </top>
        <bottom/>
        <vertical/>
        <horizontal/>
      </border>
    </dxf>
    <dxf>
      <border>
        <top style="thin">
          <color auto="1"/>
        </top>
        <bottom/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</dxf>
    <dxf>
      <border>
        <top style="thin">
          <color auto="1"/>
        </top>
        <bottom/>
        <vertical/>
        <horizontal/>
      </border>
    </dxf>
    <dxf>
      <border>
        <top style="thin">
          <color auto="1"/>
        </top>
        <bottom/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0.0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67E8-104A-4C01-B3F9-EA6216827CE4}" name="Banco_AnáliseFrete" displayName="Banco_AnáliseFrete" ref="B8:N16" totalsRowShown="0" headerRowDxfId="41" dataDxfId="40">
  <sortState xmlns:xlrd2="http://schemas.microsoft.com/office/spreadsheetml/2017/richdata2" ref="B9:N16">
    <sortCondition ref="B9:B16"/>
    <sortCondition ref="L9:L16"/>
    <sortCondition ref="C9:C16"/>
    <sortCondition ref="D9:D16"/>
    <sortCondition ref="E9:E16"/>
  </sortState>
  <tableColumns count="13">
    <tableColumn id="1" xr3:uid="{4767202E-50AA-4375-9CA2-F655596FF590}" name="REVISÃO" dataDxfId="39"/>
    <tableColumn id="2" xr3:uid="{4367DCE8-E5D4-471B-AD5C-556698E9CE5C}" name="TIPO" dataDxfId="38"/>
    <tableColumn id="3" xr3:uid="{45B33500-847E-4F54-B30D-5E2907746B89}" name="PORTO DESTINO" dataDxfId="37"/>
    <tableColumn id="4" xr3:uid="{D57962FD-6709-4E37-8CFA-58BA766514DA}" name="CONTAINER" dataDxfId="36"/>
    <tableColumn id="5" xr3:uid="{939308E3-25B4-410C-9ABC-F2017835AB1C}" name="AGENTE DE CARGAS" dataDxfId="35"/>
    <tableColumn id="6" xr3:uid="{265219AF-8687-4E46-9094-E9E27D6477EE}" name="TRANSIT TIME" dataDxfId="34"/>
    <tableColumn id="7" xr3:uid="{771C06BC-98A9-4C56-A80A-93C652185956}" name="FREE TIME" dataDxfId="33"/>
    <tableColumn id="8" xr3:uid="{A22E5419-5314-44F3-93EA-4C6D9CAB9602}" name="VALOR FRETE (USD)" dataDxfId="32"/>
    <tableColumn id="9" xr3:uid="{435296E6-4129-4A1D-86F7-3AD92362E3A2}" name="VALOR FRETE (EUR)" dataDxfId="31"/>
    <tableColumn id="10" xr3:uid="{1379C2C3-597E-4564-A33D-48BF771C82DD}" name="VALOR FRETE (BRL)" dataDxfId="30"/>
    <tableColumn id="11" xr3:uid="{B4200796-9972-4580-A795-37319D290550}" name="VALOR TOTAL FRETE (BRL)" dataDxfId="13">
      <calculatedColumnFormula>SUM(Banco_AnáliseFrete[[#This Row],[VALOR FRETE (USD)]]*Base_Dolar,Banco_AnáliseFrete[[#This Row],[VALOR FRETE (EUR)]]*Base_Euro,Banco_AnáliseFrete[[#This Row],[VALOR FRETE (BRL)]])</calculatedColumnFormula>
    </tableColumn>
    <tableColumn id="13" xr3:uid="{454B79BF-7B88-4ACE-8DB3-29959D371833}" name="VAR. (%)" dataDxfId="11" dataCellStyle="Porcentagem">
      <calculatedColumnFormula>(Banco_AnáliseFrete[[#This Row],[VALOR TOTAL FRETE (BRL)]]/MIN(Banco_AnáliseFrete[VALOR TOTAL FRETE (BRL)]))-1</calculatedColumnFormula>
    </tableColumn>
    <tableColumn id="12" xr3:uid="{AAB6C6D1-4302-4A1B-B444-8CAD392DF98D}" name="DATA FECHAMENTO" dataDxfId="12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14C72-90E4-4576-A588-D8C543CAAB86}" name="Banco_Container" displayName="Banco_Container" ref="A1:D8" totalsRowShown="0" headerRowDxfId="29" dataDxfId="28">
  <tableColumns count="4">
    <tableColumn id="1" xr3:uid="{C1B49750-29D6-4774-B621-E11437C2476B}" name="NÚM." dataDxfId="27"/>
    <tableColumn id="2" xr3:uid="{03C66091-A5C8-43CD-937E-CA27981C13BC}" name="CONTAINER" dataDxfId="26"/>
    <tableColumn id="3" xr3:uid="{1F461BEA-E2A4-428F-812E-2AD66405536D}" name="TONS" dataDxfId="25"/>
    <tableColumn id="4" xr3:uid="{4354CB43-E580-4355-8D2A-38A7DCA7C848}" name="M3" dataDxfId="2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1226B-E284-4154-87F1-BABE7F0EC4FC}" name="Banco_Agente" displayName="Banco_Agente" ref="F1:G7" totalsRowShown="0" headerRowDxfId="23" dataDxfId="22">
  <tableColumns count="2">
    <tableColumn id="1" xr3:uid="{3DFEC32A-39D9-4C39-B8D9-A5CFC5D1119E}" name="NÚM." dataDxfId="21"/>
    <tableColumn id="2" xr3:uid="{3F96F814-5C79-47BD-A236-E152E02867E1}" name="AGENTE DE CARGAS" dataDxfId="2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870E90-6A60-49C1-858B-45A746DAE345}" name="Banco_Porto" displayName="Banco_Porto" ref="I1:J4" totalsRowShown="0" headerRowDxfId="19" dataDxfId="18">
  <tableColumns count="2">
    <tableColumn id="1" xr3:uid="{2CB65FEB-E564-4B5A-A643-BC19620BCA56}" name="NÚM. " dataDxfId="17"/>
    <tableColumn id="2" xr3:uid="{97900C21-2C57-4107-8ECF-5990E5506675}" name="PORTO DESTINO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showGridLines="0" tabSelected="1" workbookViewId="0">
      <pane ySplit="8" topLeftCell="A9" activePane="bottomLeft" state="frozen"/>
      <selection pane="bottomLeft" activeCell="K18" sqref="K18"/>
    </sheetView>
  </sheetViews>
  <sheetFormatPr defaultRowHeight="13.5" x14ac:dyDescent="0.25"/>
  <cols>
    <col min="1" max="1" width="1.28515625" style="1" customWidth="1"/>
    <col min="2" max="2" width="9.85546875" style="1" customWidth="1"/>
    <col min="3" max="3" width="4.7109375" style="1" bestFit="1" customWidth="1"/>
    <col min="4" max="4" width="13.85546875" style="1" bestFit="1" customWidth="1"/>
    <col min="5" max="5" width="11.28515625" style="1" bestFit="1" customWidth="1"/>
    <col min="6" max="6" width="16.28515625" style="1" bestFit="1" customWidth="1"/>
    <col min="7" max="7" width="11.5703125" style="1" bestFit="1" customWidth="1"/>
    <col min="8" max="8" width="9" style="1" bestFit="1" customWidth="1"/>
    <col min="9" max="9" width="16" style="1" bestFit="1" customWidth="1"/>
    <col min="10" max="10" width="15.85546875" style="1" bestFit="1" customWidth="1"/>
    <col min="11" max="11" width="15.5703125" style="1" bestFit="1" customWidth="1"/>
    <col min="12" max="12" width="20.85546875" style="1" bestFit="1" customWidth="1"/>
    <col min="13" max="13" width="7.28515625" style="1" bestFit="1" customWidth="1"/>
    <col min="14" max="14" width="16.28515625" style="1" bestFit="1" customWidth="1"/>
    <col min="15" max="16384" width="9.140625" style="1"/>
  </cols>
  <sheetData>
    <row r="1" spans="2:14" ht="5.25" customHeight="1" x14ac:dyDescent="0.25"/>
    <row r="2" spans="2:14" x14ac:dyDescent="0.2">
      <c r="B2" s="18" t="s">
        <v>40</v>
      </c>
      <c r="C2" s="18"/>
      <c r="D2" s="14" t="s">
        <v>33</v>
      </c>
      <c r="E2" s="10" t="s">
        <v>28</v>
      </c>
      <c r="F2" s="10" t="s">
        <v>36</v>
      </c>
      <c r="L2" s="19" t="s">
        <v>19</v>
      </c>
      <c r="M2" s="24"/>
      <c r="N2" s="15">
        <v>45562</v>
      </c>
    </row>
    <row r="3" spans="2:14" x14ac:dyDescent="0.25">
      <c r="B3" s="19" t="s">
        <v>39</v>
      </c>
      <c r="C3" s="19"/>
      <c r="D3" s="19"/>
      <c r="E3" s="14">
        <v>26.2</v>
      </c>
      <c r="F3" s="14">
        <v>23</v>
      </c>
    </row>
    <row r="4" spans="2:14" x14ac:dyDescent="0.25">
      <c r="B4" s="20" t="s">
        <v>38</v>
      </c>
      <c r="C4" s="20"/>
      <c r="D4" s="20"/>
      <c r="E4" s="16">
        <f>IFERROR(AVERAGEIF(Banco_AnáliseFrete[CONTAINER],Base_Container,Banco_AnáliseFrete[VALOR FRETE (USD)])/_xlfn.XLOOKUP(Base_Container,Banco_Container[CONTAINER],Banco_Container[TONS],0,0,1),0)</f>
        <v>170.43928006329114</v>
      </c>
      <c r="F4" s="16">
        <f>IFERROR(AVERAGEIF(Banco_AnáliseFrete[CONTAINER],Base_Container,Banco_AnáliseFrete[VALOR FRETE (USD)])/_xlfn.XLOOKUP(Base_Container,Banco_Container[CONTAINER],Banco_Container[M3],0,0,1),0)</f>
        <v>75.195549738219896</v>
      </c>
    </row>
    <row r="5" spans="2:14" x14ac:dyDescent="0.2">
      <c r="B5" s="21" t="s">
        <v>37</v>
      </c>
      <c r="C5" s="21"/>
      <c r="D5" s="21"/>
      <c r="E5" s="11">
        <f>E4*E3</f>
        <v>4465.5091376582277</v>
      </c>
      <c r="F5" s="11">
        <f>F4*F3</f>
        <v>1729.4976439790576</v>
      </c>
      <c r="I5" s="10" t="s">
        <v>21</v>
      </c>
      <c r="J5" s="10" t="s">
        <v>22</v>
      </c>
    </row>
    <row r="6" spans="2:14" ht="15" x14ac:dyDescent="0.25">
      <c r="B6"/>
      <c r="C6"/>
      <c r="D6"/>
      <c r="H6" s="2" t="s">
        <v>20</v>
      </c>
      <c r="I6" s="13">
        <v>5.63</v>
      </c>
      <c r="J6" s="13">
        <v>6.28</v>
      </c>
    </row>
    <row r="7" spans="2:14" ht="6.75" customHeight="1" x14ac:dyDescent="0.25">
      <c r="B7"/>
      <c r="C7"/>
      <c r="D7"/>
      <c r="H7" s="2"/>
      <c r="I7"/>
      <c r="J7"/>
    </row>
    <row r="8" spans="2:14" ht="19.5" customHeight="1" x14ac:dyDescent="0.25">
      <c r="B8" s="1" t="s">
        <v>0</v>
      </c>
      <c r="C8" s="1" t="s">
        <v>2</v>
      </c>
      <c r="D8" s="1" t="s">
        <v>3</v>
      </c>
      <c r="E8" s="1" t="s">
        <v>1</v>
      </c>
      <c r="F8" s="1" t="s">
        <v>4</v>
      </c>
      <c r="G8" s="1" t="s">
        <v>18</v>
      </c>
      <c r="H8" s="1" t="s">
        <v>9</v>
      </c>
      <c r="I8" s="1" t="s">
        <v>5</v>
      </c>
      <c r="J8" s="1" t="s">
        <v>6</v>
      </c>
      <c r="K8" s="17" t="s">
        <v>7</v>
      </c>
      <c r="L8" s="1" t="s">
        <v>8</v>
      </c>
      <c r="M8" s="1" t="s">
        <v>42</v>
      </c>
      <c r="N8" s="1" t="s">
        <v>10</v>
      </c>
    </row>
    <row r="9" spans="2:14" x14ac:dyDescent="0.25">
      <c r="B9" s="1">
        <v>0</v>
      </c>
      <c r="C9" s="2" t="s">
        <v>24</v>
      </c>
      <c r="D9" s="1" t="s">
        <v>16</v>
      </c>
      <c r="E9" s="1" t="s">
        <v>33</v>
      </c>
      <c r="F9" s="2" t="s">
        <v>11</v>
      </c>
      <c r="G9" s="1">
        <v>40</v>
      </c>
      <c r="H9" s="1">
        <v>21</v>
      </c>
      <c r="I9" s="3">
        <v>4079.82</v>
      </c>
      <c r="J9" s="4">
        <v>0</v>
      </c>
      <c r="K9" s="5">
        <v>1872</v>
      </c>
      <c r="L9" s="6">
        <f>SUM(Banco_AnáliseFrete[[#This Row],[VALOR FRETE (USD)]]*Base_Dolar,Banco_AnáliseFrete[[#This Row],[VALOR FRETE (EUR)]]*Base_Euro,Banco_AnáliseFrete[[#This Row],[VALOR FRETE (BRL)]])</f>
        <v>24841.386600000002</v>
      </c>
      <c r="M9" s="22">
        <f>(Banco_AnáliseFrete[[#This Row],[VALOR TOTAL FRETE (BRL)]]/MIN(Banco_AnáliseFrete[VALOR TOTAL FRETE (BRL)]))-1</f>
        <v>0</v>
      </c>
      <c r="N9" s="23">
        <v>45568</v>
      </c>
    </row>
    <row r="10" spans="2:14" x14ac:dyDescent="0.25">
      <c r="B10" s="1">
        <v>0</v>
      </c>
      <c r="C10" s="2" t="s">
        <v>24</v>
      </c>
      <c r="D10" s="1" t="s">
        <v>16</v>
      </c>
      <c r="E10" s="1" t="s">
        <v>33</v>
      </c>
      <c r="F10" s="2" t="s">
        <v>12</v>
      </c>
      <c r="G10" s="1">
        <v>40</v>
      </c>
      <c r="H10" s="1">
        <v>21</v>
      </c>
      <c r="I10" s="3">
        <v>4400</v>
      </c>
      <c r="J10" s="4">
        <v>0</v>
      </c>
      <c r="K10" s="5">
        <v>1550</v>
      </c>
      <c r="L10" s="6">
        <f>SUM(Banco_AnáliseFrete[[#This Row],[VALOR FRETE (USD)]]*Base_Dolar,Banco_AnáliseFrete[[#This Row],[VALOR FRETE (EUR)]]*Base_Euro,Banco_AnáliseFrete[[#This Row],[VALOR FRETE (BRL)]])</f>
        <v>26322</v>
      </c>
      <c r="M10" s="22">
        <f>(Banco_AnáliseFrete[[#This Row],[VALOR TOTAL FRETE (BRL)]]/MIN(Banco_AnáliseFrete[VALOR TOTAL FRETE (BRL)]))-1</f>
        <v>5.9602687395879927E-2</v>
      </c>
    </row>
    <row r="11" spans="2:14" x14ac:dyDescent="0.25">
      <c r="B11" s="1">
        <v>0</v>
      </c>
      <c r="C11" s="2" t="s">
        <v>24</v>
      </c>
      <c r="D11" s="1" t="s">
        <v>16</v>
      </c>
      <c r="E11" s="1" t="s">
        <v>33</v>
      </c>
      <c r="F11" s="2" t="s">
        <v>41</v>
      </c>
      <c r="G11" s="1">
        <v>35</v>
      </c>
      <c r="H11" s="1">
        <v>21</v>
      </c>
      <c r="I11" s="3">
        <v>4300</v>
      </c>
      <c r="J11" s="4">
        <v>0</v>
      </c>
      <c r="K11" s="5">
        <v>2205</v>
      </c>
      <c r="L11" s="6">
        <f>SUM(Banco_AnáliseFrete[[#This Row],[VALOR FRETE (USD)]]*Base_Dolar,Banco_AnáliseFrete[[#This Row],[VALOR FRETE (EUR)]]*Base_Euro,Banco_AnáliseFrete[[#This Row],[VALOR FRETE (BRL)]])</f>
        <v>26414</v>
      </c>
      <c r="M11" s="22">
        <f>(Banco_AnáliseFrete[[#This Row],[VALOR TOTAL FRETE (BRL)]]/MIN(Banco_AnáliseFrete[VALOR TOTAL FRETE (BRL)]))-1</f>
        <v>6.3306184365730989E-2</v>
      </c>
    </row>
    <row r="12" spans="2:14" x14ac:dyDescent="0.25">
      <c r="B12" s="1">
        <v>0</v>
      </c>
      <c r="C12" s="2" t="s">
        <v>24</v>
      </c>
      <c r="D12" s="1" t="s">
        <v>16</v>
      </c>
      <c r="E12" s="1" t="s">
        <v>33</v>
      </c>
      <c r="F12" s="2" t="s">
        <v>14</v>
      </c>
      <c r="G12" s="1">
        <v>38</v>
      </c>
      <c r="H12" s="1">
        <v>14</v>
      </c>
      <c r="I12" s="3">
        <v>4455</v>
      </c>
      <c r="J12" s="4">
        <v>0</v>
      </c>
      <c r="K12" s="5">
        <v>2005</v>
      </c>
      <c r="L12" s="6">
        <f>SUM(Banco_AnáliseFrete[[#This Row],[VALOR FRETE (USD)]]*Base_Dolar,Banco_AnáliseFrete[[#This Row],[VALOR FRETE (EUR)]]*Base_Euro,Banco_AnáliseFrete[[#This Row],[VALOR FRETE (BRL)]])</f>
        <v>27086.649999999998</v>
      </c>
      <c r="M12" s="22">
        <f>(Banco_AnáliseFrete[[#This Row],[VALOR TOTAL FRETE (BRL)]]/MIN(Banco_AnáliseFrete[VALOR TOTAL FRETE (BRL)]))-1</f>
        <v>9.0383980417582555E-2</v>
      </c>
    </row>
    <row r="13" spans="2:14" x14ac:dyDescent="0.25">
      <c r="B13" s="1">
        <v>0</v>
      </c>
      <c r="C13" s="2" t="s">
        <v>24</v>
      </c>
      <c r="D13" s="1" t="s">
        <v>16</v>
      </c>
      <c r="E13" s="1" t="s">
        <v>26</v>
      </c>
      <c r="F13" s="2" t="s">
        <v>11</v>
      </c>
      <c r="G13" s="1">
        <v>40</v>
      </c>
      <c r="H13" s="1">
        <v>21</v>
      </c>
      <c r="I13" s="3">
        <v>4882.8599999999997</v>
      </c>
      <c r="J13" s="4">
        <v>0</v>
      </c>
      <c r="K13" s="5">
        <v>1872</v>
      </c>
      <c r="L13" s="6">
        <f>SUM(Banco_AnáliseFrete[[#This Row],[VALOR FRETE (USD)]]*Base_Dolar,Banco_AnáliseFrete[[#This Row],[VALOR FRETE (EUR)]]*Base_Euro,Banco_AnáliseFrete[[#This Row],[VALOR FRETE (BRL)]])</f>
        <v>29362.501799999998</v>
      </c>
      <c r="M13" s="22">
        <f>(Banco_AnáliseFrete[[#This Row],[VALOR TOTAL FRETE (BRL)]]/MIN(Banco_AnáliseFrete[VALOR TOTAL FRETE (BRL)]))-1</f>
        <v>0.18199930916899776</v>
      </c>
    </row>
    <row r="14" spans="2:14" x14ac:dyDescent="0.25">
      <c r="B14" s="1">
        <v>0</v>
      </c>
      <c r="C14" s="2" t="s">
        <v>24</v>
      </c>
      <c r="D14" s="1" t="s">
        <v>16</v>
      </c>
      <c r="E14" s="1" t="s">
        <v>26</v>
      </c>
      <c r="F14" s="2" t="s">
        <v>41</v>
      </c>
      <c r="G14" s="1">
        <v>41</v>
      </c>
      <c r="H14" s="1">
        <v>21</v>
      </c>
      <c r="I14" s="3">
        <v>5835</v>
      </c>
      <c r="J14" s="4">
        <v>0</v>
      </c>
      <c r="K14" s="5">
        <v>2007</v>
      </c>
      <c r="L14" s="6">
        <f>SUM(Banco_AnáliseFrete[[#This Row],[VALOR FRETE (USD)]]*Base_Dolar,Banco_AnáliseFrete[[#This Row],[VALOR FRETE (EUR)]]*Base_Euro,Banco_AnáliseFrete[[#This Row],[VALOR FRETE (BRL)]])</f>
        <v>34858.050000000003</v>
      </c>
      <c r="M14" s="22">
        <f>(Banco_AnáliseFrete[[#This Row],[VALOR TOTAL FRETE (BRL)]]/MIN(Banco_AnáliseFrete[VALOR TOTAL FRETE (BRL)]))-1</f>
        <v>0.40322481032520141</v>
      </c>
    </row>
    <row r="15" spans="2:14" x14ac:dyDescent="0.25">
      <c r="B15" s="1">
        <v>0</v>
      </c>
      <c r="C15" s="2" t="s">
        <v>24</v>
      </c>
      <c r="D15" s="1" t="s">
        <v>16</v>
      </c>
      <c r="E15" s="1" t="s">
        <v>26</v>
      </c>
      <c r="F15" s="2" t="s">
        <v>14</v>
      </c>
      <c r="G15" s="1">
        <v>38</v>
      </c>
      <c r="H15" s="1">
        <v>21</v>
      </c>
      <c r="I15" s="3">
        <v>5905</v>
      </c>
      <c r="J15" s="4">
        <v>0</v>
      </c>
      <c r="K15" s="5">
        <v>2005</v>
      </c>
      <c r="L15" s="6">
        <f>SUM(Banco_AnáliseFrete[[#This Row],[VALOR FRETE (USD)]]*Base_Dolar,Banco_AnáliseFrete[[#This Row],[VALOR FRETE (EUR)]]*Base_Euro,Banco_AnáliseFrete[[#This Row],[VALOR FRETE (BRL)]])</f>
        <v>35250.15</v>
      </c>
      <c r="M15" s="22">
        <f>(Banco_AnáliseFrete[[#This Row],[VALOR TOTAL FRETE (BRL)]]/MIN(Banco_AnáliseFrete[VALOR TOTAL FRETE (BRL)]))-1</f>
        <v>0.41900895338909949</v>
      </c>
    </row>
    <row r="16" spans="2:14" x14ac:dyDescent="0.25">
      <c r="B16" s="1">
        <v>0</v>
      </c>
      <c r="C16" s="2" t="s">
        <v>24</v>
      </c>
      <c r="D16" s="1" t="s">
        <v>16</v>
      </c>
      <c r="E16" s="1" t="s">
        <v>26</v>
      </c>
      <c r="F16" s="2" t="s">
        <v>12</v>
      </c>
      <c r="G16" s="1">
        <v>40</v>
      </c>
      <c r="H16" s="1">
        <v>25</v>
      </c>
      <c r="I16" s="3">
        <v>6265</v>
      </c>
      <c r="J16" s="4">
        <v>0</v>
      </c>
      <c r="K16" s="5">
        <v>1560</v>
      </c>
      <c r="L16" s="6">
        <f>SUM(Banco_AnáliseFrete[[#This Row],[VALOR FRETE (USD)]]*Base_Dolar,Banco_AnáliseFrete[[#This Row],[VALOR FRETE (EUR)]]*Base_Euro,Banco_AnáliseFrete[[#This Row],[VALOR FRETE (BRL)]])</f>
        <v>36831.949999999997</v>
      </c>
      <c r="M16" s="22">
        <f>(Banco_AnáliseFrete[[#This Row],[VALOR TOTAL FRETE (BRL)]]/MIN(Banco_AnáliseFrete[VALOR TOTAL FRETE (BRL)]))-1</f>
        <v>0.48268494802943063</v>
      </c>
    </row>
  </sheetData>
  <sortState xmlns:xlrd2="http://schemas.microsoft.com/office/spreadsheetml/2017/richdata2" ref="F10:F11">
    <sortCondition ref="F10:F11"/>
  </sortState>
  <mergeCells count="5">
    <mergeCell ref="B2:C2"/>
    <mergeCell ref="B3:D3"/>
    <mergeCell ref="B4:D4"/>
    <mergeCell ref="B5:D5"/>
    <mergeCell ref="L2:M2"/>
  </mergeCells>
  <conditionalFormatting sqref="B9:N16">
    <cfRule type="expression" dxfId="4" priority="1">
      <formula>$N9&gt;0</formula>
    </cfRule>
  </conditionalFormatting>
  <conditionalFormatting sqref="E10">
    <cfRule type="expression" dxfId="3" priority="3">
      <formula>$C10&lt;&gt;$C9</formula>
    </cfRule>
  </conditionalFormatting>
  <conditionalFormatting sqref="L9:L16">
    <cfRule type="colorScale" priority="17">
      <colorScale>
        <cfvo type="min"/>
        <cfvo type="max"/>
        <color rgb="FF63BE7B"/>
        <color rgb="FFFFEF9C"/>
      </colorScale>
    </cfRule>
  </conditionalFormatting>
  <conditionalFormatting sqref="M9:M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D2 E9:E16" xr:uid="{8CF2FF8E-3DD2-443A-BB6F-80C44A4907D5}">
      <formula1>ListBox_Container</formula1>
    </dataValidation>
    <dataValidation type="list" allowBlank="1" showInputMessage="1" showErrorMessage="1" sqref="C9:C16" xr:uid="{5D65B7BB-9513-4700-AB96-8003CF7F4455}">
      <formula1>"FCL, LCL"</formula1>
    </dataValidation>
    <dataValidation type="list" allowBlank="1" showInputMessage="1" showErrorMessage="1" sqref="F9:F16" xr:uid="{C434F0D4-6375-485A-8C20-8925CCD4AB80}">
      <formula1>ListBox_Agente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4BB0-1EEE-481F-9517-A783BD48FAAC}">
  <dimension ref="A1:J8"/>
  <sheetViews>
    <sheetView showGridLines="0" showRowColHeaders="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9.140625" style="7"/>
    <col min="2" max="2" width="13.5703125" style="7" customWidth="1"/>
    <col min="3" max="3" width="8" style="7" customWidth="1"/>
    <col min="4" max="4" width="6" style="7" customWidth="1"/>
    <col min="5" max="6" width="9.140625" style="7"/>
    <col min="7" max="7" width="21.42578125" style="7" customWidth="1"/>
    <col min="8" max="9" width="9.140625" style="7"/>
    <col min="10" max="10" width="18" style="7" customWidth="1"/>
    <col min="11" max="16384" width="9.140625" style="7"/>
  </cols>
  <sheetData>
    <row r="1" spans="1:10" x14ac:dyDescent="0.25">
      <c r="A1" s="7" t="s">
        <v>27</v>
      </c>
      <c r="B1" s="7" t="s">
        <v>1</v>
      </c>
      <c r="C1" s="7" t="s">
        <v>28</v>
      </c>
      <c r="D1" s="7" t="s">
        <v>29</v>
      </c>
      <c r="F1" s="7" t="s">
        <v>27</v>
      </c>
      <c r="G1" s="7" t="s">
        <v>4</v>
      </c>
      <c r="I1" s="7" t="s">
        <v>34</v>
      </c>
      <c r="J1" s="7" t="s">
        <v>3</v>
      </c>
    </row>
    <row r="2" spans="1:10" x14ac:dyDescent="0.25">
      <c r="A2" s="7">
        <v>1</v>
      </c>
      <c r="B2" s="12" t="s">
        <v>25</v>
      </c>
      <c r="C2" s="8">
        <v>21.92</v>
      </c>
      <c r="D2" s="9">
        <v>33</v>
      </c>
      <c r="F2" s="7">
        <v>1</v>
      </c>
      <c r="G2" s="12" t="s">
        <v>11</v>
      </c>
      <c r="I2" s="7">
        <v>1</v>
      </c>
      <c r="J2" s="12" t="s">
        <v>35</v>
      </c>
    </row>
    <row r="3" spans="1:10" x14ac:dyDescent="0.25">
      <c r="A3" s="7">
        <v>2</v>
      </c>
      <c r="B3" s="12" t="s">
        <v>30</v>
      </c>
      <c r="C3" s="8" t="s">
        <v>23</v>
      </c>
      <c r="D3" s="9" t="s">
        <v>23</v>
      </c>
      <c r="F3" s="7">
        <v>2</v>
      </c>
      <c r="G3" s="12" t="s">
        <v>12</v>
      </c>
      <c r="I3" s="7">
        <v>2</v>
      </c>
      <c r="J3" s="12" t="s">
        <v>17</v>
      </c>
    </row>
    <row r="4" spans="1:10" x14ac:dyDescent="0.25">
      <c r="A4" s="7">
        <v>3</v>
      </c>
      <c r="B4" s="12" t="s">
        <v>31</v>
      </c>
      <c r="C4" s="8">
        <v>22.36</v>
      </c>
      <c r="D4" s="9">
        <v>28.3</v>
      </c>
      <c r="F4" s="7">
        <v>3</v>
      </c>
      <c r="G4" s="12" t="s">
        <v>14</v>
      </c>
      <c r="I4" s="7">
        <v>3</v>
      </c>
      <c r="J4" s="12" t="s">
        <v>16</v>
      </c>
    </row>
    <row r="5" spans="1:10" x14ac:dyDescent="0.25">
      <c r="A5" s="7">
        <v>4</v>
      </c>
      <c r="B5" s="12" t="s">
        <v>32</v>
      </c>
      <c r="C5" s="8">
        <v>26.93</v>
      </c>
      <c r="D5" s="9">
        <v>67.3</v>
      </c>
      <c r="F5" s="7">
        <v>4</v>
      </c>
      <c r="G5" s="12" t="s">
        <v>15</v>
      </c>
    </row>
    <row r="6" spans="1:10" x14ac:dyDescent="0.25">
      <c r="A6" s="7">
        <v>5</v>
      </c>
      <c r="B6" s="12" t="s">
        <v>26</v>
      </c>
      <c r="C6" s="8">
        <v>26.33</v>
      </c>
      <c r="D6" s="9">
        <v>76.2</v>
      </c>
      <c r="F6" s="7">
        <v>5</v>
      </c>
      <c r="G6" s="12" t="s">
        <v>13</v>
      </c>
    </row>
    <row r="7" spans="1:10" x14ac:dyDescent="0.25">
      <c r="A7" s="7">
        <v>6</v>
      </c>
      <c r="B7" s="12" t="s">
        <v>33</v>
      </c>
      <c r="C7" s="8">
        <v>25.28</v>
      </c>
      <c r="D7" s="9">
        <v>57.3</v>
      </c>
      <c r="F7" s="7">
        <v>6</v>
      </c>
      <c r="G7" s="12" t="s">
        <v>41</v>
      </c>
    </row>
    <row r="8" spans="1:10" x14ac:dyDescent="0.25">
      <c r="A8" s="7">
        <v>7</v>
      </c>
      <c r="B8" s="12" t="s">
        <v>23</v>
      </c>
      <c r="C8" s="8" t="s">
        <v>23</v>
      </c>
      <c r="D8" s="9" t="s">
        <v>23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Análise de Frete</vt:lpstr>
      <vt:lpstr>Configurações</vt:lpstr>
      <vt:lpstr>Base_Container</vt:lpstr>
      <vt:lpstr>Base_Dolar</vt:lpstr>
      <vt:lpstr>Base_Euro</vt:lpstr>
      <vt:lpstr>ListBox_Agente</vt:lpstr>
      <vt:lpstr>ListBox_Container</vt:lpstr>
      <vt:lpstr>ListBox_Porto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Vendas5</dc:creator>
  <cp:lastModifiedBy>Importação Metal</cp:lastModifiedBy>
  <dcterms:created xsi:type="dcterms:W3CDTF">2015-06-05T18:19:34Z</dcterms:created>
  <dcterms:modified xsi:type="dcterms:W3CDTF">2024-10-03T15:02:41Z</dcterms:modified>
</cp:coreProperties>
</file>
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 (2)" sheetId="20" r:id="rId1"/>
  </sheets>
  <definedNames>
    <definedName name="_xlnm._FilterDatabase" localSheetId="0" hidden="1">'Sheet1 (2)'!$A$10:$CTF$64</definedName>
    <definedName name="_xlnm.Print_Area" localSheetId="0">'Sheet1 (2)'!$A$1:$R$65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<sst xmlns="http://schemas.openxmlformats.org/spreadsheetml/2006/main" count="206" uniqueCount="119">
  <si>
    <t>MAYSKY TRADING CO., LIMITED</t>
  </si>
  <si>
    <t>NO.1102, 11F, Building Lingnan. North of Lingnan Avenue,Chancheng District.Foshan City.China</t>
  </si>
  <si>
    <t>Tel:+86-757-63838585       Fax:+86-757-88030830         www.mayskyss.com</t>
  </si>
  <si>
    <t xml:space="preserve">PROFORMA INVOICE </t>
  </si>
  <si>
    <t>BUYER</t>
  </si>
  <si>
    <t>PLASNOX IND E COM IMPORTACOES LTDA</t>
  </si>
  <si>
    <t>Invoice NO. :</t>
  </si>
  <si>
    <t>MSY20260603LB02</t>
  </si>
  <si>
    <t>ADD:</t>
  </si>
  <si>
    <t>Rua Bonifácio Haendchen, 755 - Belchior Central, Gaspar - SC, 89110-975 - BRAZIL</t>
  </si>
  <si>
    <t>CNPJ:</t>
  </si>
  <si>
    <t xml:space="preserve"> 79.925.442/0001-07</t>
  </si>
  <si>
    <t xml:space="preserve"> I.E.</t>
  </si>
  <si>
    <t>251.465.888</t>
  </si>
  <si>
    <t>Invoice Date:</t>
  </si>
  <si>
    <t xml:space="preserve">PHONE: </t>
  </si>
  <si>
    <t>5547-33316700</t>
  </si>
  <si>
    <t>Item</t>
  </si>
  <si>
    <t>ITEM ID</t>
  </si>
  <si>
    <t>Standard</t>
  </si>
  <si>
    <t>MATERIAL</t>
  </si>
  <si>
    <t>SIZE(Thickness x Length)</t>
  </si>
  <si>
    <t>ESPESSURA</t>
  </si>
  <si>
    <t>Thickness</t>
  </si>
  <si>
    <t>DESCRIPTION ENGLISH</t>
  </si>
  <si>
    <t>Length</t>
  </si>
  <si>
    <t>Quantity</t>
  </si>
  <si>
    <t>FOB</t>
  </si>
  <si>
    <t>TOTAL PRICE</t>
  </si>
  <si>
    <t>NET WEIGHT (kg)</t>
  </si>
  <si>
    <t>TOTAL WEIGHT (kg)</t>
  </si>
  <si>
    <t>NCM CODE</t>
  </si>
  <si>
    <t>HEAT NO.</t>
  </si>
  <si>
    <t>MM</t>
  </si>
  <si>
    <t>M/PCS</t>
  </si>
  <si>
    <t>QTD/6M</t>
  </si>
  <si>
    <t>QUANTITY/M</t>
  </si>
  <si>
    <t>PRICE USD</t>
  </si>
  <si>
    <t>US$</t>
  </si>
  <si>
    <t>Stainless Steel Welded Tubes A270</t>
  </si>
  <si>
    <t>MSC2401.1205</t>
  </si>
  <si>
    <t>A270</t>
  </si>
  <si>
    <t>OD019,05 (3/4P) x 1,5MMx 6METERS</t>
  </si>
  <si>
    <r>
      <rPr>
        <sz val="24"/>
        <color theme="1"/>
        <rFont val="Calibri"/>
        <charset val="134"/>
      </rPr>
      <t>TUBE ROUND WELDED ANNEALING/ASTM A270 SANITARY STAINLESS/SURFACE FINISH POLISHED OUTSIDE600 GRIT, INSIDE400 GRIT(Ra</t>
    </r>
    <r>
      <rPr>
        <sz val="24"/>
        <color theme="1"/>
        <rFont val="宋体"/>
        <charset val="134"/>
      </rPr>
      <t>＜</t>
    </r>
    <r>
      <rPr>
        <sz val="24"/>
        <color theme="1"/>
        <rFont val="Calibri"/>
        <charset val="134"/>
      </rPr>
      <t>0.8μm) WITH MIRROR OUTSIDE</t>
    </r>
  </si>
  <si>
    <t>MSC2401.1206</t>
  </si>
  <si>
    <t>OD025,40 (1P) x 1,5MMx 6METERS</t>
  </si>
  <si>
    <t>MSC2401.1207</t>
  </si>
  <si>
    <t>OD031,75 (1.1/4P) x 1,5MMx 6METERS</t>
  </si>
  <si>
    <t>MSC2401.1208</t>
  </si>
  <si>
    <t>OD038,10 (1.1/2P) x 1,5MMx 6METERS</t>
  </si>
  <si>
    <t>MSC2401.1209</t>
  </si>
  <si>
    <t>OD050,80 (2P) x 1,5MMx 6METERS</t>
  </si>
  <si>
    <t>MSC2401.1210</t>
  </si>
  <si>
    <t>OD063,50 (2.1/2P) x 1,5MMx 6METERS</t>
  </si>
  <si>
    <t>MSC2401.1211</t>
  </si>
  <si>
    <t>OD076,20 (3P) x 1,5MMx 6METERS</t>
  </si>
  <si>
    <t>MSC2401.1411</t>
  </si>
  <si>
    <t>OD076,20 (3P) x 2,0MMx 6METERS</t>
  </si>
  <si>
    <t>MSC2401.1212</t>
  </si>
  <si>
    <t>OD101,60 (4P) x 1,5MMx 6METERS</t>
  </si>
  <si>
    <t>MSC2401.1412</t>
  </si>
  <si>
    <t>OD101,60 (4P) x 2,0MMx 6METERS</t>
  </si>
  <si>
    <t>MSC2401.1413</t>
  </si>
  <si>
    <t>OD127,00 (5P) x 2,0MMx 6METERS</t>
  </si>
  <si>
    <t>MSC2401.1414</t>
  </si>
  <si>
    <t>OD152,40 (6P) x 2,0MMx 6METERS</t>
  </si>
  <si>
    <t>MSC2401.1406</t>
  </si>
  <si>
    <t>OD025,40 (1P) x 2,0MM</t>
  </si>
  <si>
    <t>MSC2401.1408</t>
  </si>
  <si>
    <t>OD038,10 (1.1/2P) x 2,0MM</t>
  </si>
  <si>
    <t>MSC2401.1409</t>
  </si>
  <si>
    <t>OD050,80 (2P) x 2,0MM</t>
  </si>
  <si>
    <t>OD076,20 (3P) x 1,5MM</t>
  </si>
  <si>
    <t>OD101,60 (4P) x 1,5MM</t>
  </si>
  <si>
    <t>MSC2401.3406</t>
  </si>
  <si>
    <t>316L</t>
  </si>
  <si>
    <t>MSC2401.3408</t>
  </si>
  <si>
    <t>MSC2401.3409</t>
  </si>
  <si>
    <t>MSC2401.3205</t>
  </si>
  <si>
    <t>MSC2401.3206</t>
  </si>
  <si>
    <t>MSC2401.3208</t>
  </si>
  <si>
    <t>MSC2401.3209</t>
  </si>
  <si>
    <t>MSC2401.3210</t>
  </si>
  <si>
    <t>MSC2401.3411</t>
  </si>
  <si>
    <t>MSC2401.3412</t>
  </si>
  <si>
    <t>MSC2401.3414</t>
  </si>
  <si>
    <t>MSC2401.3306</t>
  </si>
  <si>
    <t>OD025,40 (1P) x 1,65MMx 6METERS</t>
  </si>
  <si>
    <t>MSC2401.3308</t>
  </si>
  <si>
    <t>OD038,10 (1.1/2P) x 1,65MMx 6METERS</t>
  </si>
  <si>
    <t>MSC2401.3309</t>
  </si>
  <si>
    <t>OD050,80 (2P) x 1,65MMx 6METERS</t>
  </si>
  <si>
    <t>A249</t>
  </si>
  <si>
    <t>OD012.7 (1/2P) x 1,5MMx 6METERS</t>
  </si>
  <si>
    <t>Annealed</t>
  </si>
  <si>
    <t>SAY US DOLLARS THREE HUNDRED SEVEN THOUSAND FIVE HUNDRED THIRTY-SIX AND EIGHTY-FOUR CENTS ONLY.</t>
  </si>
  <si>
    <t>Deposit</t>
  </si>
  <si>
    <t>Please be attention this price is only valid ONE working day</t>
  </si>
  <si>
    <t xml:space="preserve">1.Payment Terms:  </t>
  </si>
  <si>
    <t>20% deposit  and 80% balance paid 15 days before arriving in Brazilian Porto, FOB China</t>
  </si>
  <si>
    <t>2.PI VALIDITY TIME:</t>
  </si>
  <si>
    <t>THE DEPOSITE SHOULD BE PAID WITHIN 7 DAYS AFTER PI DATE, OR SUPPLIER HAVE RIGHT TO CANCEL THE ORDER</t>
  </si>
  <si>
    <t xml:space="preserve">3.Packing:                  </t>
  </si>
  <si>
    <r>
      <t>Each tube in normal PVC bag,2 short ropes around each bundle</t>
    </r>
    <r>
      <rPr>
        <sz val="36"/>
        <rFont val="宋体"/>
        <charset val="134"/>
      </rPr>
      <t>；</t>
    </r>
  </si>
  <si>
    <r>
      <t>4.Tolerance:</t>
    </r>
    <r>
      <rPr>
        <sz val="36"/>
        <rFont val="Calibri"/>
        <charset val="134"/>
      </rPr>
      <t xml:space="preserve">          </t>
    </r>
  </si>
  <si>
    <t>Thickness: ±10%, quantity:±10%, others as per ASTM-A270 standard.</t>
  </si>
  <si>
    <t>5.CLAIM VALIDITY:</t>
  </si>
  <si>
    <t>IN CASE OF ANY CLAIM, IT SHOULD BE RAISED WITHIN ONE MONTH UPON RECEIVED MATERIAL.</t>
  </si>
  <si>
    <t>6.Delivery time and arrangement</t>
  </si>
  <si>
    <t>First shipment; 35 days(1cntr a270 and 1cntr a554 rectangular and square)
Second shipment; 60 days after the BL date of the last shipment(2cntr a270 and 1cntr a554 rectangular and square)
Third shipment; 60 days after the BL date of the last shipment(1cntr a270)</t>
  </si>
  <si>
    <t>Bank Account :</t>
  </si>
  <si>
    <t>BENEFICIARY’S NAME:  MAYSKY TRADING CO., LIMITED</t>
  </si>
  <si>
    <t>BENEFICIARY'S ADDRESS: NO.1102, 11F, Building Lingnan. North of Lingnan Avenue,Chancheng District.Foshan City.China</t>
  </si>
  <si>
    <t xml:space="preserve">BENEFICIARY BANK :  PING AN BANK CO., LTD.  </t>
  </si>
  <si>
    <t xml:space="preserve">BENEFICIARY BANK ADDRESS: 11/F, NO 5047 ROAD SHENNAN DONG,SHENZHEN P.R.CHINA  </t>
  </si>
  <si>
    <t xml:space="preserve">SWIFT ADDRESS:  SZDBCNBS  </t>
  </si>
  <si>
    <t xml:space="preserve">A/C NO: 110-1457-8040-006  </t>
  </si>
  <si>
    <t>The seller: MAYSKY TRADING CO., LIMITED</t>
  </si>
  <si>
    <t>The buyer: PLASNOX IND E COM IMPORTACOES LTDA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</si>
</sst>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&quot;US$&quot;#,##0.00;\-&quot;US$&quot;#,##0.00"/>
    <numFmt numFmtId="179" formatCode="0.000_ "/>
    <numFmt numFmtId="180" formatCode="0.00_);[Red]\(0.00\)"/>
    <numFmt numFmtId="181" formatCode="0_);\(0\)"/>
    <numFmt numFmtId="182" formatCode="0.00_);\(0.00\)"/>
    <numFmt numFmtId="183" formatCode="0_);[Red]\(0\)"/>
    <numFmt numFmtId="184" formatCode="&quot;US$&quot;#,##0.00_);\(&quot;US$&quot;#,##0.00\)"/>
  </numFmts>
  <fonts count="39">
    <font>
      <sz val="12"/>
      <color theme="1"/>
      <name val="宋体"/>
      <charset val="134"/>
      <scheme val="minor"/>
    </font>
    <font>
      <sz val="24"/>
      <color theme="1"/>
      <name val="Calibri"/>
      <charset val="134"/>
    </font>
    <font>
      <sz val="36"/>
      <color theme="1"/>
      <name val="Calibri"/>
      <charset val="134"/>
    </font>
    <font>
      <sz val="28"/>
      <color theme="1"/>
      <name val="Calibri"/>
      <charset val="134"/>
    </font>
    <font>
      <b/>
      <sz val="24"/>
      <color theme="1"/>
      <name val="Calibri"/>
      <charset val="134"/>
    </font>
    <font>
      <sz val="24"/>
      <color theme="1"/>
      <name val="宋体"/>
      <charset val="134"/>
      <scheme val="minor"/>
    </font>
    <font>
      <sz val="36"/>
      <name val="Calibri"/>
      <charset val="134"/>
    </font>
    <font>
      <sz val="36"/>
      <name val="宋体"/>
      <charset val="134"/>
    </font>
    <font>
      <sz val="28"/>
      <name val="Calibri"/>
      <charset val="134"/>
    </font>
    <font>
      <sz val="26"/>
      <color theme="1"/>
      <name val="Calibri"/>
      <charset val="134"/>
    </font>
    <font>
      <sz val="24"/>
      <name val="Calibri"/>
      <charset val="134"/>
    </font>
    <font>
      <b/>
      <sz val="48"/>
      <color theme="1"/>
      <name val="Calibri"/>
      <charset val="134"/>
    </font>
    <font>
      <b/>
      <sz val="28"/>
      <name val="Calibri"/>
      <charset val="134"/>
    </font>
    <font>
      <b/>
      <sz val="28"/>
      <color theme="1"/>
      <name val="Calibri"/>
      <charset val="134"/>
    </font>
    <font>
      <b/>
      <sz val="36"/>
      <name val="Calibri"/>
      <charset val="204"/>
    </font>
    <font>
      <sz val="28"/>
      <name val="Calibri"/>
      <charset val="204"/>
    </font>
    <font>
      <b/>
      <sz val="36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sz val="24"/>
      <color theme="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5" borderId="33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34" applyNumberFormat="0" applyFill="0" applyAlignment="0" applyProtection="0">
      <alignment vertical="center"/>
    </xf>
    <xf numFmtId="0" fontId="24" fillId="0" borderId="34" applyNumberFormat="0" applyFill="0" applyAlignment="0" applyProtection="0">
      <alignment vertical="center"/>
    </xf>
    <xf numFmtId="0" fontId="25" fillId="0" borderId="35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6" borderId="36" applyNumberFormat="0" applyAlignment="0" applyProtection="0">
      <alignment vertical="center"/>
    </xf>
    <xf numFmtId="0" fontId="27" fillId="7" borderId="37" applyNumberFormat="0" applyAlignment="0" applyProtection="0">
      <alignment vertical="center"/>
    </xf>
    <xf numFmtId="0" fontId="28" fillId="7" borderId="36" applyNumberFormat="0" applyAlignment="0" applyProtection="0">
      <alignment vertical="center"/>
    </xf>
    <xf numFmtId="0" fontId="29" fillId="8" borderId="38" applyNumberFormat="0" applyAlignment="0" applyProtection="0">
      <alignment vertical="center"/>
    </xf>
    <xf numFmtId="0" fontId="30" fillId="0" borderId="39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17" fillId="0" borderId="0">
      <alignment vertical="center"/>
    </xf>
    <xf numFmtId="0" fontId="37" fillId="0" borderId="0">
      <alignment vertical="center"/>
    </xf>
  </cellStyleXfs>
  <cellXfs count="203">
    <xf numFmtId="0" fontId="0" fillId="0" borderId="0" xfId="0"/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0" xfId="0" applyFont="1" applyFill="1" applyAlignment="1">
      <alignment vertical="center"/>
    </xf>
    <xf numFmtId="0" fontId="3" fillId="0" borderId="0" xfId="0" applyFont="1" applyFill="1" applyAlignment="1"/>
    <xf numFmtId="0" fontId="4" fillId="0" borderId="0" xfId="0" applyFont="1" applyFill="1" applyAlignment="1">
      <alignment vertical="center" wrapText="1"/>
    </xf>
    <xf numFmtId="0" fontId="4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5" fillId="0" borderId="0" xfId="0" applyFont="1"/>
    <xf numFmtId="0" fontId="6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176" fontId="10" fillId="0" borderId="0" xfId="0" applyNumberFormat="1" applyFont="1" applyFill="1" applyAlignment="1">
      <alignment horizontal="center" vertical="center"/>
    </xf>
    <xf numFmtId="177" fontId="1" fillId="0" borderId="0" xfId="0" applyNumberFormat="1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178" fontId="1" fillId="0" borderId="0" xfId="0" applyNumberFormat="1" applyFont="1" applyFill="1" applyAlignment="1">
      <alignment horizontal="center" vertical="center"/>
    </xf>
    <xf numFmtId="179" fontId="1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178" fontId="1" fillId="0" borderId="1" xfId="0" applyNumberFormat="1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176" fontId="11" fillId="0" borderId="3" xfId="0" applyNumberFormat="1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176" fontId="2" fillId="0" borderId="6" xfId="0" applyNumberFormat="1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0" fontId="11" fillId="0" borderId="6" xfId="0" applyFont="1" applyFill="1" applyBorder="1" applyAlignment="1">
      <alignment horizontal="center" vertical="center"/>
    </xf>
    <xf numFmtId="176" fontId="11" fillId="0" borderId="6" xfId="0" applyNumberFormat="1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8" fillId="0" borderId="9" xfId="0" applyFont="1" applyFill="1" applyBorder="1" applyAlignment="1">
      <alignment horizontal="left" vertical="center"/>
    </xf>
    <xf numFmtId="0" fontId="8" fillId="0" borderId="6" xfId="0" applyFont="1" applyFill="1" applyBorder="1" applyAlignment="1">
      <alignment horizontal="left" vertical="center"/>
    </xf>
    <xf numFmtId="176" fontId="8" fillId="0" borderId="6" xfId="0" applyNumberFormat="1" applyFont="1" applyFill="1" applyBorder="1" applyAlignment="1">
      <alignment horizontal="left" vertical="center"/>
    </xf>
    <xf numFmtId="0" fontId="8" fillId="0" borderId="10" xfId="0" applyFont="1" applyFill="1" applyBorder="1" applyAlignment="1">
      <alignment horizontal="left" vertical="center"/>
    </xf>
    <xf numFmtId="179" fontId="13" fillId="0" borderId="1" xfId="0" applyNumberFormat="1" applyFont="1" applyFill="1" applyBorder="1" applyAlignment="1">
      <alignment horizontal="center" vertical="center" wrapText="1"/>
    </xf>
    <xf numFmtId="177" fontId="13" fillId="0" borderId="1" xfId="0" applyNumberFormat="1" applyFont="1" applyFill="1" applyBorder="1" applyAlignment="1">
      <alignment horizontal="center" vertical="center" wrapText="1"/>
    </xf>
    <xf numFmtId="177" fontId="13" fillId="0" borderId="11" xfId="0" applyNumberFormat="1" applyFont="1" applyFill="1" applyBorder="1" applyAlignment="1">
      <alignment horizontal="center" vertical="center" wrapText="1"/>
    </xf>
    <xf numFmtId="14" fontId="13" fillId="0" borderId="1" xfId="0" applyNumberFormat="1" applyFont="1" applyFill="1" applyBorder="1" applyAlignment="1">
      <alignment horizontal="center" vertical="center" wrapText="1"/>
    </xf>
    <xf numFmtId="14" fontId="13" fillId="0" borderId="11" xfId="0" applyNumberFormat="1" applyFont="1" applyFill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176" fontId="12" fillId="3" borderId="14" xfId="0" applyNumberFormat="1" applyFont="1" applyFill="1" applyBorder="1" applyAlignment="1">
      <alignment horizontal="center" vertical="center" wrapText="1"/>
    </xf>
    <xf numFmtId="177" fontId="12" fillId="3" borderId="14" xfId="0" applyNumberFormat="1" applyFont="1" applyFill="1" applyBorder="1" applyAlignment="1">
      <alignment horizontal="center" vertical="center" wrapText="1"/>
    </xf>
    <xf numFmtId="178" fontId="12" fillId="3" borderId="14" xfId="0" applyNumberFormat="1" applyFont="1" applyFill="1" applyBorder="1" applyAlignment="1">
      <alignment horizontal="center" vertical="center" wrapText="1"/>
    </xf>
    <xf numFmtId="178" fontId="12" fillId="3" borderId="16" xfId="0" applyNumberFormat="1" applyFont="1" applyFill="1" applyBorder="1" applyAlignment="1">
      <alignment horizontal="center" vertical="center" wrapText="1"/>
    </xf>
    <xf numFmtId="179" fontId="12" fillId="3" borderId="15" xfId="0" applyNumberFormat="1" applyFont="1" applyFill="1" applyBorder="1" applyAlignment="1">
      <alignment horizontal="center" vertical="center" wrapText="1"/>
    </xf>
    <xf numFmtId="176" fontId="12" fillId="3" borderId="15" xfId="0" applyNumberFormat="1" applyFont="1" applyFill="1" applyBorder="1" applyAlignment="1">
      <alignment horizontal="center" vertical="center" wrapText="1"/>
    </xf>
    <xf numFmtId="178" fontId="12" fillId="3" borderId="15" xfId="0" applyNumberFormat="1" applyFont="1" applyFill="1" applyBorder="1" applyAlignment="1">
      <alignment horizontal="center" vertical="center" wrapText="1"/>
    </xf>
    <xf numFmtId="178" fontId="12" fillId="3" borderId="17" xfId="0" applyNumberFormat="1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176" fontId="12" fillId="3" borderId="1" xfId="0" applyNumberFormat="1" applyFont="1" applyFill="1" applyBorder="1" applyAlignment="1">
      <alignment horizontal="center" vertical="center" wrapText="1"/>
    </xf>
    <xf numFmtId="177" fontId="12" fillId="3" borderId="1" xfId="0" applyNumberFormat="1" applyFont="1" applyFill="1" applyBorder="1" applyAlignment="1">
      <alignment horizontal="center" vertical="center" wrapText="1"/>
    </xf>
    <xf numFmtId="178" fontId="12" fillId="3" borderId="1" xfId="0" applyNumberFormat="1" applyFont="1" applyFill="1" applyBorder="1" applyAlignment="1">
      <alignment horizontal="center" vertical="center" wrapText="1"/>
    </xf>
    <xf numFmtId="178" fontId="12" fillId="3" borderId="9" xfId="0" applyNumberFormat="1" applyFont="1" applyFill="1" applyBorder="1" applyAlignment="1">
      <alignment horizontal="center" vertical="center" wrapText="1"/>
    </xf>
    <xf numFmtId="179" fontId="12" fillId="3" borderId="14" xfId="0" applyNumberFormat="1" applyFont="1" applyFill="1" applyBorder="1" applyAlignment="1">
      <alignment horizontal="center" vertical="center" wrapText="1"/>
    </xf>
    <xf numFmtId="178" fontId="12" fillId="3" borderId="18" xfId="0" applyNumberFormat="1" applyFont="1" applyFill="1" applyBorder="1" applyAlignment="1">
      <alignment horizontal="center" vertical="center" wrapText="1"/>
    </xf>
    <xf numFmtId="0" fontId="14" fillId="0" borderId="5" xfId="0" applyFont="1" applyFill="1" applyBorder="1" applyAlignment="1">
      <alignment horizontal="center" vertical="center"/>
    </xf>
    <xf numFmtId="0" fontId="14" fillId="0" borderId="6" xfId="0" applyFont="1" applyFill="1" applyBorder="1" applyAlignment="1">
      <alignment horizontal="center" vertical="center"/>
    </xf>
    <xf numFmtId="176" fontId="14" fillId="0" borderId="6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  <xf numFmtId="178" fontId="3" fillId="0" borderId="1" xfId="0" applyNumberFormat="1" applyFont="1" applyFill="1" applyBorder="1" applyAlignment="1">
      <alignment horizontal="center" vertical="center"/>
    </xf>
    <xf numFmtId="178" fontId="15" fillId="0" borderId="9" xfId="0" applyNumberFormat="1" applyFont="1" applyFill="1" applyBorder="1" applyAlignment="1">
      <alignment horizontal="center" vertical="center"/>
    </xf>
    <xf numFmtId="2" fontId="3" fillId="0" borderId="1" xfId="0" applyNumberFormat="1" applyFont="1" applyFill="1" applyBorder="1" applyAlignment="1">
      <alignment horizontal="center" vertical="center" wrapText="1"/>
    </xf>
    <xf numFmtId="176" fontId="15" fillId="0" borderId="1" xfId="0" applyNumberFormat="1" applyFont="1" applyFill="1" applyBorder="1" applyAlignment="1">
      <alignment horizontal="center" vertical="center"/>
    </xf>
    <xf numFmtId="179" fontId="15" fillId="0" borderId="11" xfId="0" applyNumberFormat="1" applyFont="1" applyFill="1" applyBorder="1" applyAlignment="1">
      <alignment horizontal="center" vertical="center"/>
    </xf>
    <xf numFmtId="179" fontId="15" fillId="0" borderId="1" xfId="0" applyNumberFormat="1" applyFont="1" applyFill="1" applyBorder="1" applyAlignment="1">
      <alignment horizontal="center" vertical="center"/>
    </xf>
    <xf numFmtId="179" fontId="15" fillId="0" borderId="10" xfId="0" applyNumberFormat="1" applyFont="1" applyFill="1" applyBorder="1" applyAlignment="1">
      <alignment horizontal="center" vertical="center"/>
    </xf>
    <xf numFmtId="178" fontId="15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178" fontId="15" fillId="0" borderId="1" xfId="0" applyNumberFormat="1" applyFont="1" applyFill="1" applyBorder="1" applyAlignment="1">
      <alignment horizontal="center" vertical="center"/>
    </xf>
    <xf numFmtId="0" fontId="12" fillId="0" borderId="19" xfId="0" applyFont="1" applyFill="1" applyBorder="1" applyAlignment="1">
      <alignment horizontal="center" vertical="center" wrapText="1"/>
    </xf>
    <xf numFmtId="0" fontId="12" fillId="0" borderId="20" xfId="0" applyFont="1" applyFill="1" applyBorder="1" applyAlignment="1">
      <alignment horizontal="center" vertical="center" wrapText="1"/>
    </xf>
    <xf numFmtId="176" fontId="12" fillId="0" borderId="20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Fill="1" applyBorder="1" applyAlignment="1">
      <alignment horizontal="center" vertical="center"/>
    </xf>
    <xf numFmtId="178" fontId="12" fillId="0" borderId="1" xfId="0" applyNumberFormat="1" applyFont="1" applyFill="1" applyBorder="1" applyAlignment="1">
      <alignment horizontal="center" vertical="center"/>
    </xf>
    <xf numFmtId="178" fontId="12" fillId="0" borderId="9" xfId="0" applyNumberFormat="1" applyFont="1" applyFill="1" applyBorder="1" applyAlignment="1">
      <alignment horizontal="center" vertical="center"/>
    </xf>
    <xf numFmtId="179" fontId="12" fillId="0" borderId="1" xfId="0" applyNumberFormat="1" applyFont="1" applyFill="1" applyBorder="1" applyAlignment="1">
      <alignment horizontal="center" vertical="center"/>
    </xf>
    <xf numFmtId="176" fontId="12" fillId="0" borderId="1" xfId="0" applyNumberFormat="1" applyFont="1" applyFill="1" applyBorder="1" applyAlignment="1">
      <alignment horizontal="center" vertical="center"/>
    </xf>
    <xf numFmtId="178" fontId="12" fillId="0" borderId="11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176" fontId="12" fillId="0" borderId="0" xfId="0" applyNumberFormat="1" applyFont="1" applyFill="1" applyBorder="1" applyAlignment="1">
      <alignment horizontal="center" vertical="center" wrapText="1"/>
    </xf>
    <xf numFmtId="176" fontId="3" fillId="0" borderId="22" xfId="0" applyNumberFormat="1" applyFont="1" applyFill="1" applyBorder="1" applyAlignment="1">
      <alignment vertical="center"/>
    </xf>
    <xf numFmtId="178" fontId="13" fillId="0" borderId="22" xfId="0" applyNumberFormat="1" applyFont="1" applyFill="1" applyBorder="1" applyAlignment="1">
      <alignment horizontal="center" vertical="center"/>
    </xf>
    <xf numFmtId="178" fontId="13" fillId="4" borderId="22" xfId="0" applyNumberFormat="1" applyFont="1" applyFill="1" applyBorder="1" applyAlignment="1">
      <alignment horizontal="center" vertical="center"/>
    </xf>
    <xf numFmtId="179" fontId="13" fillId="0" borderId="22" xfId="0" applyNumberFormat="1" applyFont="1" applyFill="1" applyBorder="1" applyAlignment="1">
      <alignment horizontal="center" vertical="center"/>
    </xf>
    <xf numFmtId="176" fontId="13" fillId="0" borderId="22" xfId="0" applyNumberFormat="1" applyFont="1" applyFill="1" applyBorder="1" applyAlignment="1">
      <alignment horizontal="center" vertical="center"/>
    </xf>
    <xf numFmtId="178" fontId="13" fillId="0" borderId="23" xfId="0" applyNumberFormat="1" applyFont="1" applyFill="1" applyBorder="1" applyAlignment="1">
      <alignment horizontal="center" vertical="center"/>
    </xf>
    <xf numFmtId="0" fontId="3" fillId="0" borderId="19" xfId="0" applyFont="1" applyFill="1" applyBorder="1" applyAlignment="1">
      <alignment vertical="center"/>
    </xf>
    <xf numFmtId="0" fontId="3" fillId="0" borderId="20" xfId="0" applyFont="1" applyFill="1" applyBorder="1" applyAlignment="1">
      <alignment vertical="center"/>
    </xf>
    <xf numFmtId="0" fontId="3" fillId="0" borderId="20" xfId="0" applyFont="1" applyFill="1" applyBorder="1" applyAlignment="1">
      <alignment horizontal="center" vertical="center"/>
    </xf>
    <xf numFmtId="176" fontId="8" fillId="0" borderId="20" xfId="0" applyNumberFormat="1" applyFont="1" applyFill="1" applyBorder="1" applyAlignment="1">
      <alignment horizontal="center" vertical="center"/>
    </xf>
    <xf numFmtId="177" fontId="3" fillId="0" borderId="20" xfId="0" applyNumberFormat="1" applyFont="1" applyFill="1" applyBorder="1" applyAlignment="1">
      <alignment vertical="center"/>
    </xf>
    <xf numFmtId="176" fontId="3" fillId="0" borderId="20" xfId="0" applyNumberFormat="1" applyFont="1" applyFill="1" applyBorder="1" applyAlignment="1">
      <alignment vertical="center"/>
    </xf>
    <xf numFmtId="178" fontId="3" fillId="0" borderId="20" xfId="0" applyNumberFormat="1" applyFont="1" applyFill="1" applyBorder="1" applyAlignment="1">
      <alignment horizontal="center" vertical="center"/>
    </xf>
    <xf numFmtId="179" fontId="3" fillId="0" borderId="20" xfId="0" applyNumberFormat="1" applyFont="1" applyFill="1" applyBorder="1" applyAlignment="1">
      <alignment horizontal="center" vertical="center"/>
    </xf>
    <xf numFmtId="176" fontId="3" fillId="0" borderId="20" xfId="0" applyNumberFormat="1" applyFont="1" applyFill="1" applyBorder="1" applyAlignment="1">
      <alignment horizontal="center" vertical="center"/>
    </xf>
    <xf numFmtId="178" fontId="3" fillId="0" borderId="24" xfId="0" applyNumberFormat="1" applyFont="1" applyFill="1" applyBorder="1" applyAlignment="1">
      <alignment horizontal="center" vertical="center"/>
    </xf>
    <xf numFmtId="0" fontId="16" fillId="0" borderId="21" xfId="0" applyFont="1" applyFill="1" applyBorder="1" applyAlignment="1">
      <alignment vertical="center"/>
    </xf>
    <xf numFmtId="0" fontId="16" fillId="0" borderId="0" xfId="0" applyFont="1" applyFill="1" applyAlignment="1">
      <alignment vertical="center"/>
    </xf>
    <xf numFmtId="0" fontId="16" fillId="0" borderId="0" xfId="0" applyFont="1" applyFill="1" applyAlignment="1">
      <alignment horizontal="center" vertical="center"/>
    </xf>
    <xf numFmtId="176" fontId="16" fillId="0" borderId="0" xfId="0" applyNumberFormat="1" applyFont="1" applyFill="1" applyAlignment="1">
      <alignment vertical="center"/>
    </xf>
    <xf numFmtId="0" fontId="16" fillId="0" borderId="25" xfId="0" applyFont="1" applyFill="1" applyBorder="1" applyAlignment="1">
      <alignment vertical="center"/>
    </xf>
    <xf numFmtId="0" fontId="6" fillId="0" borderId="0" xfId="0" applyFont="1" applyFill="1" applyAlignment="1">
      <alignment vertical="center"/>
    </xf>
    <xf numFmtId="180" fontId="16" fillId="0" borderId="21" xfId="0" applyNumberFormat="1" applyFont="1" applyFill="1" applyBorder="1" applyAlignment="1">
      <alignment vertical="center"/>
    </xf>
    <xf numFmtId="180" fontId="16" fillId="0" borderId="0" xfId="0" applyNumberFormat="1" applyFont="1" applyFill="1" applyAlignment="1">
      <alignment vertical="center"/>
    </xf>
    <xf numFmtId="0" fontId="6" fillId="0" borderId="0" xfId="0" applyFont="1" applyFill="1" applyAlignment="1">
      <alignment horizontal="left" vertical="center" wrapText="1" readingOrder="1"/>
    </xf>
    <xf numFmtId="176" fontId="6" fillId="0" borderId="0" xfId="0" applyNumberFormat="1" applyFont="1" applyFill="1" applyAlignment="1">
      <alignment horizontal="left" vertical="center" wrapText="1" readingOrder="1"/>
    </xf>
    <xf numFmtId="0" fontId="6" fillId="0" borderId="25" xfId="0" applyFont="1" applyFill="1" applyBorder="1" applyAlignment="1">
      <alignment horizontal="left" vertical="center" wrapText="1" readingOrder="1"/>
    </xf>
    <xf numFmtId="180" fontId="12" fillId="0" borderId="21" xfId="0" applyNumberFormat="1" applyFont="1" applyFill="1" applyBorder="1" applyAlignment="1">
      <alignment horizontal="left" vertical="center"/>
    </xf>
    <xf numFmtId="180" fontId="12" fillId="0" borderId="0" xfId="0" applyNumberFormat="1" applyFont="1" applyFill="1" applyAlignment="1">
      <alignment horizontal="left" vertical="center"/>
    </xf>
    <xf numFmtId="180" fontId="8" fillId="0" borderId="0" xfId="0" applyNumberFormat="1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8" fillId="0" borderId="0" xfId="0" applyFont="1" applyFill="1" applyAlignment="1">
      <alignment horizontal="center" vertical="center" wrapText="1" readingOrder="1"/>
    </xf>
    <xf numFmtId="176" fontId="8" fillId="0" borderId="0" xfId="0" applyNumberFormat="1" applyFont="1" applyFill="1" applyAlignment="1">
      <alignment horizontal="left" vertical="center" wrapText="1" readingOrder="1"/>
    </xf>
    <xf numFmtId="0" fontId="8" fillId="0" borderId="0" xfId="0" applyFont="1" applyFill="1" applyAlignment="1">
      <alignment horizontal="left" vertical="center" wrapText="1" readingOrder="1"/>
    </xf>
    <xf numFmtId="177" fontId="8" fillId="0" borderId="0" xfId="0" applyNumberFormat="1" applyFont="1" applyFill="1" applyAlignment="1">
      <alignment horizontal="left" vertical="center" wrapText="1" readingOrder="1"/>
    </xf>
    <xf numFmtId="178" fontId="8" fillId="0" borderId="0" xfId="0" applyNumberFormat="1" applyFont="1" applyFill="1" applyAlignment="1">
      <alignment horizontal="center" vertical="center"/>
    </xf>
    <xf numFmtId="179" fontId="8" fillId="0" borderId="0" xfId="0" applyNumberFormat="1" applyFont="1" applyFill="1" applyBorder="1" applyAlignment="1">
      <alignment horizontal="center" vertical="center"/>
    </xf>
    <xf numFmtId="176" fontId="8" fillId="0" borderId="0" xfId="0" applyNumberFormat="1" applyFont="1" applyFill="1" applyBorder="1" applyAlignment="1">
      <alignment horizontal="center" vertical="center"/>
    </xf>
    <xf numFmtId="178" fontId="8" fillId="0" borderId="0" xfId="0" applyNumberFormat="1" applyFont="1" applyFill="1" applyBorder="1" applyAlignment="1">
      <alignment horizontal="center" vertical="center"/>
    </xf>
    <xf numFmtId="178" fontId="8" fillId="0" borderId="25" xfId="0" applyNumberFormat="1" applyFont="1" applyFill="1" applyBorder="1" applyAlignment="1">
      <alignment horizontal="center" vertical="center"/>
    </xf>
    <xf numFmtId="180" fontId="16" fillId="0" borderId="21" xfId="0" applyNumberFormat="1" applyFont="1" applyBorder="1" applyAlignment="1">
      <alignment horizontal="left" vertical="center"/>
    </xf>
    <xf numFmtId="180" fontId="16" fillId="0" borderId="0" xfId="0" applyNumberFormat="1" applyFont="1" applyAlignment="1">
      <alignment horizontal="left" vertical="center"/>
    </xf>
    <xf numFmtId="180" fontId="16" fillId="0" borderId="0" xfId="0" applyNumberFormat="1" applyFont="1" applyAlignment="1">
      <alignment horizontal="center" vertical="center"/>
    </xf>
    <xf numFmtId="176" fontId="16" fillId="0" borderId="0" xfId="0" applyNumberFormat="1" applyFont="1" applyAlignment="1">
      <alignment horizontal="left" vertical="center"/>
    </xf>
    <xf numFmtId="181" fontId="16" fillId="0" borderId="0" xfId="0" applyNumberFormat="1" applyFont="1" applyAlignment="1">
      <alignment horizontal="left" vertical="center"/>
    </xf>
    <xf numFmtId="182" fontId="16" fillId="0" borderId="0" xfId="0" applyNumberFormat="1" applyFont="1" applyAlignment="1">
      <alignment horizontal="left" vertical="center"/>
    </xf>
    <xf numFmtId="182" fontId="2" fillId="0" borderId="0" xfId="0" applyNumberFormat="1" applyFont="1"/>
    <xf numFmtId="179" fontId="2" fillId="0" borderId="0" xfId="0" applyNumberFormat="1" applyFont="1" applyBorder="1"/>
    <xf numFmtId="176" fontId="2" fillId="0" borderId="0" xfId="0" applyNumberFormat="1" applyFont="1" applyBorder="1"/>
    <xf numFmtId="182" fontId="2" fillId="0" borderId="0" xfId="0" applyNumberFormat="1" applyFont="1" applyBorder="1"/>
    <xf numFmtId="182" fontId="2" fillId="0" borderId="25" xfId="0" applyNumberFormat="1" applyFont="1" applyBorder="1"/>
    <xf numFmtId="0" fontId="6" fillId="0" borderId="0" xfId="0" applyFont="1" applyAlignment="1">
      <alignment vertical="center"/>
    </xf>
    <xf numFmtId="180" fontId="16" fillId="0" borderId="21" xfId="0" applyNumberFormat="1" applyFont="1" applyBorder="1" applyAlignment="1">
      <alignment vertical="center"/>
    </xf>
    <xf numFmtId="180" fontId="16" fillId="0" borderId="0" xfId="0" applyNumberFormat="1" applyFont="1" applyAlignment="1">
      <alignment vertical="center"/>
    </xf>
    <xf numFmtId="176" fontId="16" fillId="0" borderId="0" xfId="0" applyNumberFormat="1" applyFont="1" applyAlignment="1">
      <alignment vertical="center"/>
    </xf>
    <xf numFmtId="181" fontId="16" fillId="0" borderId="0" xfId="0" applyNumberFormat="1" applyFont="1" applyAlignment="1">
      <alignment vertical="center"/>
    </xf>
    <xf numFmtId="182" fontId="16" fillId="0" borderId="0" xfId="0" applyNumberFormat="1" applyFont="1" applyAlignment="1">
      <alignment vertical="center"/>
    </xf>
    <xf numFmtId="179" fontId="16" fillId="0" borderId="0" xfId="0" applyNumberFormat="1" applyFont="1" applyBorder="1" applyAlignment="1">
      <alignment vertical="center"/>
    </xf>
    <xf numFmtId="176" fontId="16" fillId="0" borderId="0" xfId="0" applyNumberFormat="1" applyFont="1" applyBorder="1" applyAlignment="1">
      <alignment vertical="center"/>
    </xf>
    <xf numFmtId="180" fontId="16" fillId="0" borderId="0" xfId="0" applyNumberFormat="1" applyFont="1" applyBorder="1" applyAlignment="1">
      <alignment vertical="center"/>
    </xf>
    <xf numFmtId="180" fontId="16" fillId="0" borderId="25" xfId="0" applyNumberFormat="1" applyFont="1" applyBorder="1" applyAlignment="1">
      <alignment vertical="center"/>
    </xf>
    <xf numFmtId="180" fontId="16" fillId="0" borderId="0" xfId="0" applyNumberFormat="1" applyFont="1" applyAlignment="1">
      <alignment vertical="center" shrinkToFit="1"/>
    </xf>
    <xf numFmtId="180" fontId="16" fillId="0" borderId="0" xfId="0" applyNumberFormat="1" applyFont="1" applyAlignment="1">
      <alignment horizontal="center" vertical="center" shrinkToFit="1"/>
    </xf>
    <xf numFmtId="176" fontId="16" fillId="0" borderId="0" xfId="0" applyNumberFormat="1" applyFont="1" applyAlignment="1">
      <alignment vertical="center" shrinkToFit="1"/>
    </xf>
    <xf numFmtId="179" fontId="16" fillId="0" borderId="0" xfId="0" applyNumberFormat="1" applyFont="1" applyBorder="1" applyAlignment="1">
      <alignment vertical="center" shrinkToFit="1"/>
    </xf>
    <xf numFmtId="176" fontId="16" fillId="0" borderId="0" xfId="0" applyNumberFormat="1" applyFont="1" applyBorder="1" applyAlignment="1">
      <alignment vertical="center" shrinkToFit="1"/>
    </xf>
    <xf numFmtId="180" fontId="16" fillId="0" borderId="0" xfId="0" applyNumberFormat="1" applyFont="1" applyBorder="1" applyAlignment="1">
      <alignment vertical="center" shrinkToFit="1"/>
    </xf>
    <xf numFmtId="180" fontId="16" fillId="0" borderId="25" xfId="0" applyNumberFormat="1" applyFont="1" applyBorder="1" applyAlignment="1">
      <alignment vertical="center" shrinkToFit="1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176" fontId="3" fillId="0" borderId="27" xfId="0" applyNumberFormat="1" applyFont="1" applyBorder="1" applyAlignment="1">
      <alignment horizontal="center" vertical="center"/>
    </xf>
    <xf numFmtId="181" fontId="3" fillId="0" borderId="27" xfId="0" applyNumberFormat="1" applyFont="1" applyBorder="1" applyAlignment="1">
      <alignment horizontal="center" vertical="center"/>
    </xf>
    <xf numFmtId="183" fontId="3" fillId="0" borderId="27" xfId="0" applyNumberFormat="1" applyFont="1" applyBorder="1" applyAlignment="1">
      <alignment horizontal="center" vertical="center"/>
    </xf>
    <xf numFmtId="182" fontId="3" fillId="0" borderId="27" xfId="0" applyNumberFormat="1" applyFont="1" applyBorder="1" applyAlignment="1">
      <alignment horizontal="center" vertical="center"/>
    </xf>
    <xf numFmtId="184" fontId="3" fillId="0" borderId="27" xfId="0" applyNumberFormat="1" applyFont="1" applyBorder="1" applyAlignment="1">
      <alignment vertical="center"/>
    </xf>
    <xf numFmtId="182" fontId="3" fillId="0" borderId="0" xfId="0" applyNumberFormat="1" applyFont="1"/>
    <xf numFmtId="179" fontId="3" fillId="0" borderId="0" xfId="0" applyNumberFormat="1" applyFont="1" applyBorder="1"/>
    <xf numFmtId="176" fontId="3" fillId="0" borderId="0" xfId="0" applyNumberFormat="1" applyFont="1" applyBorder="1"/>
    <xf numFmtId="182" fontId="3" fillId="0" borderId="0" xfId="0" applyNumberFormat="1" applyFont="1" applyBorder="1"/>
    <xf numFmtId="182" fontId="3" fillId="0" borderId="25" xfId="0" applyNumberFormat="1" applyFont="1" applyBorder="1"/>
    <xf numFmtId="0" fontId="6" fillId="0" borderId="21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180" fontId="6" fillId="0" borderId="0" xfId="0" applyNumberFormat="1" applyFont="1" applyFill="1" applyAlignment="1">
      <alignment horizontal="center" vertical="center" readingOrder="1"/>
    </xf>
    <xf numFmtId="0" fontId="2" fillId="0" borderId="0" xfId="0" applyFont="1" applyFill="1" applyAlignment="1">
      <alignment horizontal="center"/>
    </xf>
    <xf numFmtId="176" fontId="2" fillId="0" borderId="0" xfId="0" applyNumberFormat="1" applyFont="1" applyFill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177" fontId="6" fillId="0" borderId="0" xfId="0" applyNumberFormat="1" applyFont="1" applyFill="1" applyBorder="1" applyAlignment="1">
      <alignment horizontal="center" vertical="center"/>
    </xf>
    <xf numFmtId="176" fontId="6" fillId="0" borderId="0" xfId="0" applyNumberFormat="1" applyFont="1" applyFill="1" applyBorder="1" applyAlignment="1">
      <alignment horizontal="center" vertical="center"/>
    </xf>
    <xf numFmtId="179" fontId="6" fillId="0" borderId="28" xfId="0" applyNumberFormat="1" applyFont="1" applyFill="1" applyBorder="1" applyAlignment="1">
      <alignment horizontal="left" vertical="center" wrapText="1"/>
    </xf>
    <xf numFmtId="176" fontId="6" fillId="0" borderId="28" xfId="0" applyNumberFormat="1" applyFont="1" applyFill="1" applyBorder="1" applyAlignment="1">
      <alignment horizontal="left" vertical="center" wrapText="1"/>
    </xf>
    <xf numFmtId="179" fontId="6" fillId="0" borderId="29" xfId="0" applyNumberFormat="1" applyFont="1" applyFill="1" applyBorder="1" applyAlignment="1">
      <alignment horizontal="left" vertical="center" wrapText="1"/>
    </xf>
    <xf numFmtId="0" fontId="3" fillId="0" borderId="30" xfId="0" applyFont="1" applyFill="1" applyBorder="1" applyAlignment="1">
      <alignment vertical="center"/>
    </xf>
    <xf numFmtId="0" fontId="3" fillId="0" borderId="31" xfId="0" applyFont="1" applyFill="1" applyBorder="1" applyAlignment="1">
      <alignment vertical="center"/>
    </xf>
    <xf numFmtId="0" fontId="3" fillId="0" borderId="31" xfId="0" applyFont="1" applyFill="1" applyBorder="1" applyAlignment="1">
      <alignment horizontal="center" vertical="center"/>
    </xf>
    <xf numFmtId="176" fontId="8" fillId="0" borderId="31" xfId="0" applyNumberFormat="1" applyFont="1" applyFill="1" applyBorder="1" applyAlignment="1">
      <alignment horizontal="center" vertical="center"/>
    </xf>
    <xf numFmtId="177" fontId="3" fillId="0" borderId="31" xfId="0" applyNumberFormat="1" applyFont="1" applyFill="1" applyBorder="1" applyAlignment="1">
      <alignment vertical="center"/>
    </xf>
    <xf numFmtId="176" fontId="3" fillId="0" borderId="31" xfId="0" applyNumberFormat="1" applyFont="1" applyFill="1" applyBorder="1" applyAlignment="1">
      <alignment vertical="center"/>
    </xf>
    <xf numFmtId="178" fontId="3" fillId="0" borderId="31" xfId="0" applyNumberFormat="1" applyFont="1" applyFill="1" applyBorder="1" applyAlignment="1">
      <alignment horizontal="center" vertical="center"/>
    </xf>
    <xf numFmtId="179" fontId="3" fillId="0" borderId="31" xfId="0" applyNumberFormat="1" applyFont="1" applyFill="1" applyBorder="1" applyAlignment="1">
      <alignment horizontal="center" vertical="center"/>
    </xf>
    <xf numFmtId="176" fontId="3" fillId="0" borderId="31" xfId="0" applyNumberFormat="1" applyFont="1" applyFill="1" applyBorder="1" applyAlignment="1">
      <alignment horizontal="center" vertical="center"/>
    </xf>
    <xf numFmtId="178" fontId="3" fillId="0" borderId="32" xfId="0" applyNumberFormat="1" applyFont="1" applyFill="1" applyBorder="1" applyAlignment="1">
      <alignment horizontal="center" vertical="center"/>
    </xf>
    <xf numFmtId="179" fontId="1" fillId="0" borderId="14" xfId="0" applyNumberFormat="1" applyFont="1" applyFill="1" applyBorder="1" applyAlignment="1">
      <alignment horizontal="center" vertical="center"/>
    </xf>
    <xf numFmtId="176" fontId="1" fillId="0" borderId="14" xfId="0" applyNumberFormat="1" applyFont="1" applyFill="1" applyBorder="1" applyAlignment="1">
      <alignment horizontal="center" vertical="center"/>
    </xf>
    <xf numFmtId="178" fontId="1" fillId="0" borderId="14" xfId="0" applyNumberFormat="1" applyFont="1" applyFill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_Sheet1" xfId="50"/>
  </cellStyle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534035</xdr:colOff>
      <xdr:row>0</xdr:row>
      <xdr:rowOff>155575</xdr:rowOff>
    </xdr:from>
    <xdr:to>
      <xdr:col>3</xdr:col>
      <xdr:colOff>783590</xdr:colOff>
      <xdr:row>3</xdr:row>
      <xdr:rowOff>72390</xdr:rowOff>
    </xdr:to>
    <xdr:pic>
      <xdr:nvPicPr>
        <xdr:cNvPr id="2" name="图片 1" descr="maysky 图标带R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34035" y="155575"/>
          <a:ext cx="6669405" cy="25838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TF66"/>
  <sheetViews>
    <sheetView tabSelected="1" view="pageBreakPreview" zoomScale="30" zoomScaleNormal="100" topLeftCell="A44" workbookViewId="0">
      <selection activeCell="F52" sqref="F52:R52"/>
    </sheetView>
  </sheetViews>
  <sheetFormatPr defaultColWidth="23" defaultRowHeight="31.5"/>
  <cols>
    <col min="1" max="1" width="23" style="7" customWidth="1"/>
    <col min="2" max="2" width="35.625" style="7" customWidth="1"/>
    <col min="3" max="5" width="25.625" style="7" customWidth="1"/>
    <col min="6" max="7" width="15.625" style="14" customWidth="1"/>
    <col min="8" max="8" width="23" style="15" customWidth="1"/>
    <col min="9" max="9" width="50.625" style="7" customWidth="1"/>
    <col min="10" max="10" width="30.625" style="7" customWidth="1"/>
    <col min="11" max="11" width="30.625" style="16" customWidth="1"/>
    <col min="12" max="12" width="30.625" style="17" customWidth="1"/>
    <col min="13" max="13" width="25.625" style="18" customWidth="1"/>
    <col min="14" max="14" width="35.625" style="18" customWidth="1"/>
    <col min="15" max="15" width="20.625" style="19" customWidth="1"/>
    <col min="16" max="16" width="24.6833333333333" style="20" customWidth="1"/>
    <col min="17" max="17" width="30" style="21" customWidth="1"/>
    <col min="18" max="18" width="23" style="21" customWidth="1"/>
    <col min="19" max="16363" width="23" style="7" customWidth="1"/>
    <col min="16364" max="16384" width="23" style="7"/>
  </cols>
  <sheetData>
    <row r="1" s="1" customFormat="1" ht="70" customHeight="1" spans="1:18">
      <c r="A1" s="22" t="s">
        <v>0</v>
      </c>
      <c r="B1" s="23"/>
      <c r="C1" s="23"/>
      <c r="D1" s="23"/>
      <c r="E1" s="23"/>
      <c r="F1" s="23"/>
      <c r="G1" s="23"/>
      <c r="H1" s="24"/>
      <c r="I1" s="23"/>
      <c r="J1" s="23"/>
      <c r="K1" s="23"/>
      <c r="L1" s="23"/>
      <c r="M1" s="23"/>
      <c r="N1" s="23"/>
      <c r="O1" s="23"/>
      <c r="P1" s="24"/>
      <c r="Q1" s="23"/>
      <c r="R1" s="25"/>
    </row>
    <row r="2" s="1" customFormat="1" ht="70" customHeight="1" spans="1:18">
      <c r="A2" s="26" t="s">
        <v>1</v>
      </c>
      <c r="B2" s="27"/>
      <c r="C2" s="27"/>
      <c r="D2" s="27"/>
      <c r="E2" s="27"/>
      <c r="F2" s="27"/>
      <c r="G2" s="27"/>
      <c r="H2" s="28"/>
      <c r="I2" s="27"/>
      <c r="J2" s="27"/>
      <c r="K2" s="27"/>
      <c r="L2" s="27"/>
      <c r="M2" s="27"/>
      <c r="N2" s="27"/>
      <c r="O2" s="27"/>
      <c r="P2" s="28"/>
      <c r="Q2" s="27"/>
      <c r="R2" s="29"/>
    </row>
    <row r="3" s="1" customFormat="1" ht="70" customHeight="1" spans="1:18">
      <c r="A3" s="26" t="s">
        <v>2</v>
      </c>
      <c r="B3" s="27"/>
      <c r="C3" s="27"/>
      <c r="D3" s="27"/>
      <c r="E3" s="27"/>
      <c r="F3" s="27"/>
      <c r="G3" s="27"/>
      <c r="H3" s="28"/>
      <c r="I3" s="27"/>
      <c r="J3" s="27"/>
      <c r="K3" s="27"/>
      <c r="L3" s="27"/>
      <c r="M3" s="27"/>
      <c r="N3" s="27"/>
      <c r="O3" s="27"/>
      <c r="P3" s="28"/>
      <c r="Q3" s="27"/>
      <c r="R3" s="29"/>
    </row>
    <row r="4" s="2" customFormat="1" ht="70" customHeight="1" spans="1:18">
      <c r="A4" s="30" t="s">
        <v>3</v>
      </c>
      <c r="B4" s="31"/>
      <c r="C4" s="31"/>
      <c r="D4" s="31"/>
      <c r="E4" s="31"/>
      <c r="F4" s="31"/>
      <c r="G4" s="31"/>
      <c r="H4" s="32"/>
      <c r="I4" s="31"/>
      <c r="J4" s="31"/>
      <c r="K4" s="31"/>
      <c r="L4" s="31"/>
      <c r="M4" s="31"/>
      <c r="N4" s="31"/>
      <c r="O4" s="31"/>
      <c r="P4" s="32"/>
      <c r="Q4" s="31"/>
      <c r="R4" s="33"/>
    </row>
    <row r="5" s="3" customFormat="1" ht="60" customHeight="1" spans="1:18">
      <c r="A5" s="34" t="s">
        <v>4</v>
      </c>
      <c r="B5" s="35" t="s">
        <v>5</v>
      </c>
      <c r="C5" s="36"/>
      <c r="D5" s="36"/>
      <c r="E5" s="36"/>
      <c r="F5" s="36"/>
      <c r="G5" s="36"/>
      <c r="H5" s="37"/>
      <c r="I5" s="36"/>
      <c r="J5" s="36"/>
      <c r="K5" s="36"/>
      <c r="L5" s="38"/>
      <c r="M5" s="39" t="s">
        <v>6</v>
      </c>
      <c r="N5" s="39"/>
      <c r="O5" s="40" t="s">
        <v>7</v>
      </c>
      <c r="P5" s="40"/>
      <c r="Q5" s="40"/>
      <c r="R5" s="41"/>
    </row>
    <row r="6" s="3" customFormat="1" ht="60" customHeight="1" spans="1:18">
      <c r="A6" s="34" t="s">
        <v>8</v>
      </c>
      <c r="B6" s="35" t="s">
        <v>9</v>
      </c>
      <c r="C6" s="36"/>
      <c r="D6" s="36"/>
      <c r="E6" s="36"/>
      <c r="F6" s="36"/>
      <c r="G6" s="36"/>
      <c r="H6" s="37"/>
      <c r="I6" s="36"/>
      <c r="J6" s="36"/>
      <c r="K6" s="36"/>
      <c r="L6" s="38"/>
      <c r="M6" s="39"/>
      <c r="N6" s="39"/>
      <c r="O6" s="40"/>
      <c r="P6" s="40"/>
      <c r="Q6" s="40"/>
      <c r="R6" s="41"/>
    </row>
    <row r="7" s="3" customFormat="1" ht="60" customHeight="1" spans="1:18">
      <c r="A7" s="34" t="s">
        <v>10</v>
      </c>
      <c r="B7" s="35" t="s">
        <v>11</v>
      </c>
      <c r="C7" s="36"/>
      <c r="D7" s="36"/>
      <c r="E7" s="36"/>
      <c r="F7" s="36"/>
      <c r="G7" s="36"/>
      <c r="H7" s="37"/>
      <c r="I7" s="36"/>
      <c r="J7" s="36"/>
      <c r="K7" s="36"/>
      <c r="L7" s="38"/>
      <c r="M7" s="39"/>
      <c r="N7" s="39"/>
      <c r="O7" s="40"/>
      <c r="P7" s="40"/>
      <c r="Q7" s="40"/>
      <c r="R7" s="41"/>
    </row>
    <row r="8" s="3" customFormat="1" ht="73" customHeight="1" spans="1:18">
      <c r="A8" s="34" t="s">
        <v>12</v>
      </c>
      <c r="B8" s="35" t="s">
        <v>13</v>
      </c>
      <c r="C8" s="36"/>
      <c r="D8" s="36"/>
      <c r="E8" s="36"/>
      <c r="F8" s="36"/>
      <c r="G8" s="36"/>
      <c r="H8" s="37"/>
      <c r="I8" s="36"/>
      <c r="J8" s="36"/>
      <c r="K8" s="36"/>
      <c r="L8" s="38"/>
      <c r="M8" s="39" t="s">
        <v>14</v>
      </c>
      <c r="N8" s="39"/>
      <c r="O8" s="42">
        <v>46176</v>
      </c>
      <c r="P8" s="42"/>
      <c r="Q8" s="42"/>
      <c r="R8" s="43"/>
    </row>
    <row r="9" s="4" customFormat="1" ht="60" customHeight="1" spans="1:18">
      <c r="A9" s="44" t="s">
        <v>15</v>
      </c>
      <c r="B9" s="35" t="s">
        <v>16</v>
      </c>
      <c r="C9" s="36"/>
      <c r="D9" s="36"/>
      <c r="E9" s="36"/>
      <c r="F9" s="36"/>
      <c r="G9" s="36"/>
      <c r="H9" s="37"/>
      <c r="I9" s="36"/>
      <c r="J9" s="36"/>
      <c r="K9" s="36"/>
      <c r="L9" s="38"/>
      <c r="M9" s="39"/>
      <c r="N9" s="39"/>
      <c r="O9" s="42"/>
      <c r="P9" s="42"/>
      <c r="Q9" s="42"/>
      <c r="R9" s="43"/>
    </row>
    <row r="10" s="5" customFormat="1" ht="70" customHeight="1" spans="1:18">
      <c r="A10" s="45" t="s">
        <v>17</v>
      </c>
      <c r="B10" s="46" t="s">
        <v>18</v>
      </c>
      <c r="C10" s="46" t="s">
        <v>19</v>
      </c>
      <c r="D10" s="46" t="s">
        <v>20</v>
      </c>
      <c r="E10" s="47" t="s">
        <v>21</v>
      </c>
      <c r="F10" s="48" t="s">
        <v>22</v>
      </c>
      <c r="G10" s="48"/>
      <c r="H10" s="49" t="s">
        <v>23</v>
      </c>
      <c r="I10" s="48" t="s">
        <v>24</v>
      </c>
      <c r="J10" s="48" t="s">
        <v>25</v>
      </c>
      <c r="K10" s="50" t="s">
        <v>26</v>
      </c>
      <c r="L10" s="49"/>
      <c r="M10" s="51" t="s">
        <v>27</v>
      </c>
      <c r="N10" s="52" t="s">
        <v>28</v>
      </c>
      <c r="O10" s="53" t="s">
        <v>29</v>
      </c>
      <c r="P10" s="54" t="s">
        <v>30</v>
      </c>
      <c r="Q10" s="55" t="s">
        <v>31</v>
      </c>
      <c r="R10" s="56" t="s">
        <v>32</v>
      </c>
    </row>
    <row r="11" s="5" customFormat="1" ht="70" customHeight="1" spans="1:18">
      <c r="A11" s="57"/>
      <c r="B11" s="58"/>
      <c r="C11" s="58"/>
      <c r="D11" s="58"/>
      <c r="E11" s="48"/>
      <c r="F11" s="59" t="s">
        <v>33</v>
      </c>
      <c r="G11" s="59"/>
      <c r="H11" s="60" t="s">
        <v>33</v>
      </c>
      <c r="I11" s="59"/>
      <c r="J11" s="59" t="s">
        <v>34</v>
      </c>
      <c r="K11" s="61" t="s">
        <v>35</v>
      </c>
      <c r="L11" s="60" t="s">
        <v>36</v>
      </c>
      <c r="M11" s="62" t="s">
        <v>37</v>
      </c>
      <c r="N11" s="63" t="s">
        <v>38</v>
      </c>
      <c r="O11" s="64"/>
      <c r="P11" s="49"/>
      <c r="Q11" s="51"/>
      <c r="R11" s="65"/>
    </row>
    <row r="12" s="6" customFormat="1" ht="60" customHeight="1" spans="1:18">
      <c r="A12" s="66" t="s">
        <v>39</v>
      </c>
      <c r="B12" s="67"/>
      <c r="C12" s="67"/>
      <c r="D12" s="67"/>
      <c r="E12" s="67"/>
      <c r="F12" s="67"/>
      <c r="G12" s="67"/>
      <c r="H12" s="68"/>
      <c r="I12" s="67"/>
      <c r="J12" s="67"/>
      <c r="K12" s="67"/>
      <c r="L12" s="67"/>
      <c r="M12" s="67"/>
      <c r="N12" s="67"/>
      <c r="O12" s="67"/>
      <c r="P12" s="68"/>
      <c r="Q12" s="67"/>
      <c r="R12" s="69"/>
    </row>
    <row r="13" s="7" customFormat="1" ht="400" customHeight="1" spans="1:18">
      <c r="A13" s="70">
        <v>1</v>
      </c>
      <c r="B13" s="71" t="s">
        <v>40</v>
      </c>
      <c r="C13" s="72" t="s">
        <v>41</v>
      </c>
      <c r="D13" s="73">
        <v>304</v>
      </c>
      <c r="E13" s="71" t="s">
        <v>42</v>
      </c>
      <c r="F13" s="71">
        <v>19.05</v>
      </c>
      <c r="G13" s="71"/>
      <c r="H13" s="74">
        <v>1.5</v>
      </c>
      <c r="I13" s="75" t="s">
        <v>43</v>
      </c>
      <c r="J13" s="71">
        <v>6</v>
      </c>
      <c r="K13" s="76">
        <f>L13/J13</f>
        <v>140</v>
      </c>
      <c r="L13" s="73">
        <v>840</v>
      </c>
      <c r="M13" s="77">
        <v>1.83</v>
      </c>
      <c r="N13" s="78">
        <f>M13*L13</f>
        <v>1537.2</v>
      </c>
      <c r="O13" s="79">
        <v>0.65154375</v>
      </c>
      <c r="P13" s="80">
        <f>O13*L13</f>
        <v>547.29675</v>
      </c>
      <c r="Q13" s="71">
        <v>73064000</v>
      </c>
      <c r="R13" s="81"/>
    </row>
    <row r="14" s="7" customFormat="1" ht="400" customHeight="1" spans="1:18">
      <c r="A14" s="70">
        <v>2</v>
      </c>
      <c r="B14" s="71" t="s">
        <v>44</v>
      </c>
      <c r="C14" s="72" t="s">
        <v>41</v>
      </c>
      <c r="D14" s="73">
        <v>304</v>
      </c>
      <c r="E14" s="71" t="s">
        <v>45</v>
      </c>
      <c r="F14" s="71">
        <v>25.4</v>
      </c>
      <c r="G14" s="71"/>
      <c r="H14" s="74">
        <v>1.5</v>
      </c>
      <c r="I14" s="75" t="s">
        <v>43</v>
      </c>
      <c r="J14" s="71">
        <v>6</v>
      </c>
      <c r="K14" s="76">
        <f t="shared" ref="K14:K45" si="0">L14/J14</f>
        <v>1040</v>
      </c>
      <c r="L14" s="73">
        <v>6240</v>
      </c>
      <c r="M14" s="77">
        <v>2.45</v>
      </c>
      <c r="N14" s="78">
        <f t="shared" ref="N14:N30" si="1">M14*L14</f>
        <v>15288</v>
      </c>
      <c r="O14" s="79">
        <v>0.8872875</v>
      </c>
      <c r="P14" s="80">
        <f>O14*L14</f>
        <v>5536.674</v>
      </c>
      <c r="Q14" s="71">
        <v>73064000</v>
      </c>
      <c r="R14" s="81"/>
    </row>
    <row r="15" s="7" customFormat="1" ht="400" customHeight="1" spans="1:18">
      <c r="A15" s="70">
        <v>3</v>
      </c>
      <c r="B15" s="71" t="s">
        <v>46</v>
      </c>
      <c r="C15" s="72" t="s">
        <v>41</v>
      </c>
      <c r="D15" s="73">
        <v>304</v>
      </c>
      <c r="E15" s="71" t="s">
        <v>47</v>
      </c>
      <c r="F15" s="71">
        <v>31.75</v>
      </c>
      <c r="G15" s="71"/>
      <c r="H15" s="74">
        <v>1.5</v>
      </c>
      <c r="I15" s="75" t="s">
        <v>43</v>
      </c>
      <c r="J15" s="71">
        <v>6</v>
      </c>
      <c r="K15" s="76">
        <f t="shared" si="0"/>
        <v>180</v>
      </c>
      <c r="L15" s="73">
        <v>1080</v>
      </c>
      <c r="M15" s="77">
        <v>3.06</v>
      </c>
      <c r="N15" s="78">
        <f t="shared" si="1"/>
        <v>3304.8</v>
      </c>
      <c r="O15" s="79">
        <v>1.12303125</v>
      </c>
      <c r="P15" s="80">
        <f t="shared" ref="P14:P30" si="2">O15*L15</f>
        <v>1212.87375</v>
      </c>
      <c r="Q15" s="71">
        <v>73064000</v>
      </c>
      <c r="R15" s="81"/>
    </row>
    <row r="16" s="7" customFormat="1" ht="400" customHeight="1" spans="1:18">
      <c r="A16" s="70">
        <v>4</v>
      </c>
      <c r="B16" s="71" t="s">
        <v>48</v>
      </c>
      <c r="C16" s="72" t="s">
        <v>41</v>
      </c>
      <c r="D16" s="73">
        <v>304</v>
      </c>
      <c r="E16" s="71" t="s">
        <v>49</v>
      </c>
      <c r="F16" s="71">
        <v>38.1</v>
      </c>
      <c r="G16" s="71"/>
      <c r="H16" s="74">
        <v>1.5</v>
      </c>
      <c r="I16" s="75" t="s">
        <v>43</v>
      </c>
      <c r="J16" s="71">
        <v>6</v>
      </c>
      <c r="K16" s="76">
        <f t="shared" si="0"/>
        <v>1230</v>
      </c>
      <c r="L16" s="73">
        <v>7380</v>
      </c>
      <c r="M16" s="77">
        <v>3.64</v>
      </c>
      <c r="N16" s="78">
        <f t="shared" si="1"/>
        <v>26863.2</v>
      </c>
      <c r="O16" s="79">
        <v>1.358775</v>
      </c>
      <c r="P16" s="80">
        <f t="shared" si="2"/>
        <v>10027.7595</v>
      </c>
      <c r="Q16" s="71">
        <v>73064000</v>
      </c>
      <c r="R16" s="81"/>
    </row>
    <row r="17" s="7" customFormat="1" ht="400" customHeight="1" spans="1:18">
      <c r="A17" s="70">
        <v>5</v>
      </c>
      <c r="B17" s="71" t="s">
        <v>50</v>
      </c>
      <c r="C17" s="72" t="s">
        <v>41</v>
      </c>
      <c r="D17" s="73">
        <v>304</v>
      </c>
      <c r="E17" s="71" t="s">
        <v>51</v>
      </c>
      <c r="F17" s="71">
        <v>50.8</v>
      </c>
      <c r="G17" s="71"/>
      <c r="H17" s="74">
        <v>1.5</v>
      </c>
      <c r="I17" s="75" t="s">
        <v>43</v>
      </c>
      <c r="J17" s="71">
        <v>6</v>
      </c>
      <c r="K17" s="76">
        <f t="shared" si="0"/>
        <v>3070</v>
      </c>
      <c r="L17" s="73">
        <v>18420</v>
      </c>
      <c r="M17" s="77">
        <v>4.9</v>
      </c>
      <c r="N17" s="78">
        <f t="shared" si="1"/>
        <v>90258</v>
      </c>
      <c r="O17" s="79">
        <v>1.8302625</v>
      </c>
      <c r="P17" s="80">
        <f t="shared" si="2"/>
        <v>33713.43525</v>
      </c>
      <c r="Q17" s="71">
        <v>73064000</v>
      </c>
      <c r="R17" s="81"/>
    </row>
    <row r="18" s="7" customFormat="1" ht="400" customHeight="1" spans="1:18">
      <c r="A18" s="70">
        <v>6</v>
      </c>
      <c r="B18" s="71" t="s">
        <v>52</v>
      </c>
      <c r="C18" s="72" t="s">
        <v>41</v>
      </c>
      <c r="D18" s="73">
        <v>304</v>
      </c>
      <c r="E18" s="71" t="s">
        <v>53</v>
      </c>
      <c r="F18" s="71">
        <v>63.5</v>
      </c>
      <c r="G18" s="71"/>
      <c r="H18" s="74">
        <v>1.5</v>
      </c>
      <c r="I18" s="75" t="s">
        <v>43</v>
      </c>
      <c r="J18" s="71">
        <v>6</v>
      </c>
      <c r="K18" s="76">
        <f t="shared" si="0"/>
        <v>150</v>
      </c>
      <c r="L18" s="73">
        <v>900</v>
      </c>
      <c r="M18" s="77">
        <v>6.16</v>
      </c>
      <c r="N18" s="78">
        <f t="shared" si="1"/>
        <v>5544</v>
      </c>
      <c r="O18" s="79">
        <v>2.30175</v>
      </c>
      <c r="P18" s="80">
        <f t="shared" si="2"/>
        <v>2071.575</v>
      </c>
      <c r="Q18" s="71">
        <v>73064000</v>
      </c>
      <c r="R18" s="81"/>
    </row>
    <row r="19" s="7" customFormat="1" ht="400" customHeight="1" spans="1:18">
      <c r="A19" s="70">
        <v>7</v>
      </c>
      <c r="B19" s="71" t="s">
        <v>54</v>
      </c>
      <c r="C19" s="72" t="s">
        <v>41</v>
      </c>
      <c r="D19" s="73">
        <v>304</v>
      </c>
      <c r="E19" s="71" t="s">
        <v>55</v>
      </c>
      <c r="F19" s="71">
        <v>76.2</v>
      </c>
      <c r="G19" s="71"/>
      <c r="H19" s="74">
        <v>1.5</v>
      </c>
      <c r="I19" s="75" t="s">
        <v>43</v>
      </c>
      <c r="J19" s="71">
        <v>6</v>
      </c>
      <c r="K19" s="76">
        <f t="shared" si="0"/>
        <v>300</v>
      </c>
      <c r="L19" s="73">
        <v>1800</v>
      </c>
      <c r="M19" s="77">
        <v>7.41</v>
      </c>
      <c r="N19" s="78">
        <f t="shared" si="1"/>
        <v>13338</v>
      </c>
      <c r="O19" s="79">
        <v>2.7732375</v>
      </c>
      <c r="P19" s="80">
        <f t="shared" si="2"/>
        <v>4991.8275</v>
      </c>
      <c r="Q19" s="71">
        <v>73064000</v>
      </c>
      <c r="R19" s="81"/>
    </row>
    <row r="20" s="7" customFormat="1" ht="400" customHeight="1" spans="1:18">
      <c r="A20" s="70">
        <v>8</v>
      </c>
      <c r="B20" s="71" t="s">
        <v>56</v>
      </c>
      <c r="C20" s="72" t="s">
        <v>41</v>
      </c>
      <c r="D20" s="73">
        <v>304</v>
      </c>
      <c r="E20" s="71" t="s">
        <v>57</v>
      </c>
      <c r="F20" s="71">
        <v>76.2</v>
      </c>
      <c r="G20" s="71"/>
      <c r="H20" s="74">
        <v>2</v>
      </c>
      <c r="I20" s="75" t="s">
        <v>43</v>
      </c>
      <c r="J20" s="71">
        <v>6</v>
      </c>
      <c r="K20" s="76">
        <f t="shared" si="0"/>
        <v>490</v>
      </c>
      <c r="L20" s="73">
        <v>2940</v>
      </c>
      <c r="M20" s="77">
        <v>9.83</v>
      </c>
      <c r="N20" s="78">
        <f t="shared" si="1"/>
        <v>28900.2</v>
      </c>
      <c r="O20" s="79">
        <v>3.6729</v>
      </c>
      <c r="P20" s="80">
        <f t="shared" si="2"/>
        <v>10798.326</v>
      </c>
      <c r="Q20" s="71">
        <v>73064000</v>
      </c>
      <c r="R20" s="81"/>
    </row>
    <row r="21" s="7" customFormat="1" ht="400" customHeight="1" spans="1:18">
      <c r="A21" s="70">
        <v>9</v>
      </c>
      <c r="B21" s="71" t="s">
        <v>58</v>
      </c>
      <c r="C21" s="72" t="s">
        <v>41</v>
      </c>
      <c r="D21" s="73">
        <v>304</v>
      </c>
      <c r="E21" s="71" t="s">
        <v>59</v>
      </c>
      <c r="F21" s="71">
        <v>101.6</v>
      </c>
      <c r="G21" s="71"/>
      <c r="H21" s="74">
        <v>1.5</v>
      </c>
      <c r="I21" s="75" t="s">
        <v>43</v>
      </c>
      <c r="J21" s="71">
        <v>6</v>
      </c>
      <c r="K21" s="76">
        <f t="shared" si="0"/>
        <v>150</v>
      </c>
      <c r="L21" s="73">
        <v>900</v>
      </c>
      <c r="M21" s="77">
        <v>9.93</v>
      </c>
      <c r="N21" s="78">
        <f t="shared" si="1"/>
        <v>8937</v>
      </c>
      <c r="O21" s="79">
        <v>3.7162125</v>
      </c>
      <c r="P21" s="80">
        <f t="shared" si="2"/>
        <v>3344.59125</v>
      </c>
      <c r="Q21" s="71">
        <v>73064000</v>
      </c>
      <c r="R21" s="81"/>
    </row>
    <row r="22" s="7" customFormat="1" ht="400" customHeight="1" spans="1:18">
      <c r="A22" s="70">
        <v>10</v>
      </c>
      <c r="B22" s="71" t="s">
        <v>60</v>
      </c>
      <c r="C22" s="72" t="s">
        <v>41</v>
      </c>
      <c r="D22" s="73">
        <v>304</v>
      </c>
      <c r="E22" s="71" t="s">
        <v>61</v>
      </c>
      <c r="F22" s="71">
        <v>101.6</v>
      </c>
      <c r="G22" s="71"/>
      <c r="H22" s="74">
        <v>2</v>
      </c>
      <c r="I22" s="75" t="s">
        <v>43</v>
      </c>
      <c r="J22" s="71">
        <v>6</v>
      </c>
      <c r="K22" s="76">
        <f t="shared" si="0"/>
        <v>300</v>
      </c>
      <c r="L22" s="73">
        <v>1800</v>
      </c>
      <c r="M22" s="77">
        <v>13.18</v>
      </c>
      <c r="N22" s="78">
        <f t="shared" si="1"/>
        <v>23724</v>
      </c>
      <c r="O22" s="79">
        <v>4.9302</v>
      </c>
      <c r="P22" s="80">
        <f t="shared" si="2"/>
        <v>8874.36</v>
      </c>
      <c r="Q22" s="71">
        <v>73064000</v>
      </c>
      <c r="R22" s="81"/>
    </row>
    <row r="23" s="7" customFormat="1" ht="400" customHeight="1" spans="1:18">
      <c r="A23" s="70">
        <v>11</v>
      </c>
      <c r="B23" s="71" t="s">
        <v>62</v>
      </c>
      <c r="C23" s="72" t="s">
        <v>41</v>
      </c>
      <c r="D23" s="73">
        <v>304</v>
      </c>
      <c r="E23" s="71" t="s">
        <v>63</v>
      </c>
      <c r="F23" s="71">
        <v>127</v>
      </c>
      <c r="G23" s="71"/>
      <c r="H23" s="74">
        <v>2</v>
      </c>
      <c r="I23" s="75" t="s">
        <v>43</v>
      </c>
      <c r="J23" s="71">
        <v>6</v>
      </c>
      <c r="K23" s="76">
        <f t="shared" si="0"/>
        <v>60</v>
      </c>
      <c r="L23" s="73">
        <v>360</v>
      </c>
      <c r="M23" s="77">
        <v>16.54</v>
      </c>
      <c r="N23" s="78">
        <f t="shared" si="1"/>
        <v>5954.4</v>
      </c>
      <c r="O23" s="79">
        <v>6.1875</v>
      </c>
      <c r="P23" s="80">
        <f t="shared" si="2"/>
        <v>2227.5</v>
      </c>
      <c r="Q23" s="71">
        <v>73064000</v>
      </c>
      <c r="R23" s="81"/>
    </row>
    <row r="24" s="7" customFormat="1" ht="400" customHeight="1" spans="1:18">
      <c r="A24" s="70">
        <v>12</v>
      </c>
      <c r="B24" s="71" t="s">
        <v>64</v>
      </c>
      <c r="C24" s="72" t="s">
        <v>41</v>
      </c>
      <c r="D24" s="73">
        <v>304</v>
      </c>
      <c r="E24" s="71" t="s">
        <v>65</v>
      </c>
      <c r="F24" s="71">
        <v>152.4</v>
      </c>
      <c r="G24" s="71"/>
      <c r="H24" s="74">
        <v>2</v>
      </c>
      <c r="I24" s="75" t="s">
        <v>43</v>
      </c>
      <c r="J24" s="71">
        <v>6</v>
      </c>
      <c r="K24" s="76">
        <f t="shared" si="0"/>
        <v>135</v>
      </c>
      <c r="L24" s="73">
        <v>810</v>
      </c>
      <c r="M24" s="77">
        <v>19.89</v>
      </c>
      <c r="N24" s="78">
        <f t="shared" si="1"/>
        <v>16110.9</v>
      </c>
      <c r="O24" s="79">
        <v>7.4448</v>
      </c>
      <c r="P24" s="80">
        <f t="shared" si="2"/>
        <v>6030.288</v>
      </c>
      <c r="Q24" s="71">
        <v>73064000</v>
      </c>
      <c r="R24" s="81"/>
    </row>
    <row r="25" s="7" customFormat="1" ht="400" customHeight="1" spans="1:18">
      <c r="A25" s="70">
        <v>13</v>
      </c>
      <c r="B25" s="71" t="s">
        <v>66</v>
      </c>
      <c r="C25" s="72" t="s">
        <v>41</v>
      </c>
      <c r="D25" s="73">
        <v>304</v>
      </c>
      <c r="E25" s="71" t="s">
        <v>67</v>
      </c>
      <c r="F25" s="71">
        <v>25.4</v>
      </c>
      <c r="G25" s="71"/>
      <c r="H25" s="74">
        <v>2</v>
      </c>
      <c r="I25" s="75" t="s">
        <v>43</v>
      </c>
      <c r="J25" s="71">
        <v>6</v>
      </c>
      <c r="K25" s="76">
        <f t="shared" si="0"/>
        <v>80</v>
      </c>
      <c r="L25" s="73">
        <v>480</v>
      </c>
      <c r="M25" s="77">
        <v>3</v>
      </c>
      <c r="N25" s="78">
        <f t="shared" si="1"/>
        <v>1440</v>
      </c>
      <c r="O25" s="79">
        <v>1.583</v>
      </c>
      <c r="P25" s="80">
        <f t="shared" si="2"/>
        <v>759.84</v>
      </c>
      <c r="Q25" s="71">
        <v>73064000</v>
      </c>
      <c r="R25" s="81"/>
    </row>
    <row r="26" s="7" customFormat="1" ht="400" customHeight="1" spans="1:18">
      <c r="A26" s="70">
        <v>14</v>
      </c>
      <c r="B26" s="71" t="s">
        <v>68</v>
      </c>
      <c r="C26" s="72" t="s">
        <v>41</v>
      </c>
      <c r="D26" s="73">
        <v>304</v>
      </c>
      <c r="E26" s="71" t="s">
        <v>69</v>
      </c>
      <c r="F26" s="71">
        <v>38.1</v>
      </c>
      <c r="G26" s="71"/>
      <c r="H26" s="74">
        <v>2</v>
      </c>
      <c r="I26" s="75" t="s">
        <v>43</v>
      </c>
      <c r="J26" s="71">
        <v>6</v>
      </c>
      <c r="K26" s="76">
        <f t="shared" si="0"/>
        <v>120</v>
      </c>
      <c r="L26" s="73">
        <v>720</v>
      </c>
      <c r="M26" s="77">
        <v>4.62</v>
      </c>
      <c r="N26" s="78">
        <f t="shared" si="1"/>
        <v>3326.4</v>
      </c>
      <c r="O26" s="79">
        <v>1.787</v>
      </c>
      <c r="P26" s="80">
        <f t="shared" si="2"/>
        <v>1286.64</v>
      </c>
      <c r="Q26" s="71">
        <v>73064000</v>
      </c>
      <c r="R26" s="81"/>
    </row>
    <row r="27" s="7" customFormat="1" ht="400" customHeight="1" spans="1:18">
      <c r="A27" s="70">
        <v>15</v>
      </c>
      <c r="B27" s="71" t="s">
        <v>70</v>
      </c>
      <c r="C27" s="72" t="s">
        <v>41</v>
      </c>
      <c r="D27" s="73">
        <v>304</v>
      </c>
      <c r="E27" s="71" t="s">
        <v>71</v>
      </c>
      <c r="F27" s="71">
        <v>50.8</v>
      </c>
      <c r="G27" s="71"/>
      <c r="H27" s="74">
        <v>2</v>
      </c>
      <c r="I27" s="75" t="s">
        <v>43</v>
      </c>
      <c r="J27" s="71">
        <v>6</v>
      </c>
      <c r="K27" s="76">
        <f t="shared" si="0"/>
        <v>120</v>
      </c>
      <c r="L27" s="73">
        <v>720</v>
      </c>
      <c r="M27" s="77">
        <v>6.24</v>
      </c>
      <c r="N27" s="78">
        <f t="shared" si="1"/>
        <v>4492.8</v>
      </c>
      <c r="O27" s="79">
        <v>2.4156</v>
      </c>
      <c r="P27" s="80">
        <f t="shared" si="2"/>
        <v>1739.232</v>
      </c>
      <c r="Q27" s="71">
        <v>73064000</v>
      </c>
      <c r="R27" s="81"/>
    </row>
    <row r="28" s="7" customFormat="1" ht="400" customHeight="1" spans="1:18">
      <c r="A28" s="70">
        <v>16</v>
      </c>
      <c r="B28" s="71" t="s">
        <v>54</v>
      </c>
      <c r="C28" s="72" t="s">
        <v>41</v>
      </c>
      <c r="D28" s="73">
        <v>304</v>
      </c>
      <c r="E28" s="71" t="s">
        <v>72</v>
      </c>
      <c r="F28" s="71">
        <v>76.2</v>
      </c>
      <c r="G28" s="71"/>
      <c r="H28" s="74">
        <v>1.5</v>
      </c>
      <c r="I28" s="75" t="s">
        <v>43</v>
      </c>
      <c r="J28" s="71">
        <v>6</v>
      </c>
      <c r="K28" s="76">
        <f t="shared" si="0"/>
        <v>170</v>
      </c>
      <c r="L28" s="73">
        <v>1020</v>
      </c>
      <c r="M28" s="77">
        <v>7.41</v>
      </c>
      <c r="N28" s="78">
        <f t="shared" si="1"/>
        <v>7558.2</v>
      </c>
      <c r="O28" s="79">
        <v>2.7732</v>
      </c>
      <c r="P28" s="80">
        <f t="shared" si="2"/>
        <v>2828.664</v>
      </c>
      <c r="Q28" s="71">
        <v>73064000</v>
      </c>
      <c r="R28" s="81"/>
    </row>
    <row r="29" s="7" customFormat="1" ht="400" customHeight="1" spans="1:18">
      <c r="A29" s="70">
        <v>17</v>
      </c>
      <c r="B29" s="71" t="s">
        <v>58</v>
      </c>
      <c r="C29" s="72" t="s">
        <v>41</v>
      </c>
      <c r="D29" s="73">
        <v>304</v>
      </c>
      <c r="E29" s="71" t="s">
        <v>73</v>
      </c>
      <c r="F29" s="71">
        <v>101.6</v>
      </c>
      <c r="G29" s="71"/>
      <c r="H29" s="74">
        <v>1.5</v>
      </c>
      <c r="I29" s="75" t="s">
        <v>43</v>
      </c>
      <c r="J29" s="71">
        <v>6</v>
      </c>
      <c r="K29" s="76">
        <f t="shared" si="0"/>
        <v>155</v>
      </c>
      <c r="L29" s="73">
        <v>930</v>
      </c>
      <c r="M29" s="77">
        <v>9.93</v>
      </c>
      <c r="N29" s="78">
        <f t="shared" si="1"/>
        <v>9234.9</v>
      </c>
      <c r="O29" s="79">
        <v>3.7162</v>
      </c>
      <c r="P29" s="80">
        <f t="shared" si="2"/>
        <v>3456.066</v>
      </c>
      <c r="Q29" s="71">
        <v>73064000</v>
      </c>
      <c r="R29" s="81"/>
    </row>
    <row r="30" s="7" customFormat="1" ht="400" customHeight="1" spans="1:18">
      <c r="A30" s="70">
        <v>18</v>
      </c>
      <c r="B30" s="71" t="s">
        <v>74</v>
      </c>
      <c r="C30" s="72" t="s">
        <v>41</v>
      </c>
      <c r="D30" s="73" t="s">
        <v>75</v>
      </c>
      <c r="E30" s="71" t="s">
        <v>67</v>
      </c>
      <c r="F30" s="71">
        <v>25.4</v>
      </c>
      <c r="G30" s="71"/>
      <c r="H30" s="74">
        <v>2</v>
      </c>
      <c r="I30" s="75" t="s">
        <v>43</v>
      </c>
      <c r="J30" s="71">
        <v>6</v>
      </c>
      <c r="K30" s="76">
        <f t="shared" si="0"/>
        <v>15</v>
      </c>
      <c r="L30" s="73">
        <v>90</v>
      </c>
      <c r="M30" s="77">
        <v>6.04</v>
      </c>
      <c r="N30" s="78">
        <f t="shared" si="1"/>
        <v>543.6</v>
      </c>
      <c r="O30" s="79">
        <v>1.158</v>
      </c>
      <c r="P30" s="82">
        <f t="shared" si="2"/>
        <v>104.22</v>
      </c>
      <c r="Q30" s="71">
        <v>73064000</v>
      </c>
      <c r="R30" s="81"/>
    </row>
    <row r="31" s="7" customFormat="1" ht="400" customHeight="1" spans="1:18">
      <c r="A31" s="70">
        <v>19</v>
      </c>
      <c r="B31" s="71" t="s">
        <v>76</v>
      </c>
      <c r="C31" s="72" t="s">
        <v>41</v>
      </c>
      <c r="D31" s="73" t="s">
        <v>75</v>
      </c>
      <c r="E31" s="71" t="s">
        <v>69</v>
      </c>
      <c r="F31" s="71">
        <v>38.1</v>
      </c>
      <c r="G31" s="71"/>
      <c r="H31" s="74">
        <v>2</v>
      </c>
      <c r="I31" s="75" t="s">
        <v>43</v>
      </c>
      <c r="J31" s="71">
        <v>6</v>
      </c>
      <c r="K31" s="76">
        <f t="shared" si="0"/>
        <v>15</v>
      </c>
      <c r="L31" s="73">
        <v>90</v>
      </c>
      <c r="M31" s="77">
        <v>9.3</v>
      </c>
      <c r="N31" s="78">
        <f t="shared" ref="N31:N44" si="3">M31*L31</f>
        <v>837</v>
      </c>
      <c r="O31" s="79">
        <v>1.787</v>
      </c>
      <c r="P31" s="82">
        <f t="shared" ref="P31:P43" si="4">O31*L31</f>
        <v>160.83</v>
      </c>
      <c r="Q31" s="71">
        <v>73064000</v>
      </c>
      <c r="R31" s="81"/>
    </row>
    <row r="32" s="7" customFormat="1" ht="400" customHeight="1" spans="1:18">
      <c r="A32" s="70">
        <v>20</v>
      </c>
      <c r="B32" s="71" t="s">
        <v>77</v>
      </c>
      <c r="C32" s="72" t="s">
        <v>41</v>
      </c>
      <c r="D32" s="73" t="s">
        <v>75</v>
      </c>
      <c r="E32" s="71" t="s">
        <v>71</v>
      </c>
      <c r="F32" s="71">
        <v>50.8</v>
      </c>
      <c r="G32" s="71"/>
      <c r="H32" s="74">
        <v>2</v>
      </c>
      <c r="I32" s="75" t="s">
        <v>43</v>
      </c>
      <c r="J32" s="71">
        <v>6</v>
      </c>
      <c r="K32" s="76">
        <f t="shared" si="0"/>
        <v>15</v>
      </c>
      <c r="L32" s="73">
        <v>90</v>
      </c>
      <c r="M32" s="77">
        <v>12.56</v>
      </c>
      <c r="N32" s="78">
        <f t="shared" si="3"/>
        <v>1130.4</v>
      </c>
      <c r="O32" s="79">
        <v>2.4156</v>
      </c>
      <c r="P32" s="82">
        <f t="shared" si="4"/>
        <v>217.404</v>
      </c>
      <c r="Q32" s="71">
        <v>73064000</v>
      </c>
      <c r="R32" s="81"/>
    </row>
    <row r="33" s="7" customFormat="1" ht="400" customHeight="1" spans="1:1024 1025:2554">
      <c r="A33" s="70">
        <v>21</v>
      </c>
      <c r="B33" s="71" t="s">
        <v>78</v>
      </c>
      <c r="C33" s="72" t="s">
        <v>41</v>
      </c>
      <c r="D33" s="73" t="s">
        <v>75</v>
      </c>
      <c r="E33" s="71" t="s">
        <v>42</v>
      </c>
      <c r="F33" s="71">
        <v>19.05</v>
      </c>
      <c r="G33" s="71"/>
      <c r="H33" s="74">
        <v>1.5</v>
      </c>
      <c r="I33" s="75" t="s">
        <v>43</v>
      </c>
      <c r="J33" s="71">
        <v>6</v>
      </c>
      <c r="K33" s="76">
        <f t="shared" si="0"/>
        <v>50</v>
      </c>
      <c r="L33" s="73">
        <v>300</v>
      </c>
      <c r="M33" s="77">
        <v>3.48</v>
      </c>
      <c r="N33" s="78">
        <f t="shared" si="3"/>
        <v>1044</v>
      </c>
      <c r="O33" s="79">
        <v>0.65154375</v>
      </c>
      <c r="P33" s="82">
        <f t="shared" si="4"/>
        <v>195.463125</v>
      </c>
      <c r="Q33" s="71">
        <v>73064000</v>
      </c>
      <c r="R33" s="81"/>
    </row>
    <row r="34" s="7" customFormat="1" ht="400" customHeight="1" spans="1:1024 1025:2554">
      <c r="A34" s="70">
        <v>22</v>
      </c>
      <c r="B34" s="71" t="s">
        <v>79</v>
      </c>
      <c r="C34" s="72" t="s">
        <v>41</v>
      </c>
      <c r="D34" s="73" t="s">
        <v>75</v>
      </c>
      <c r="E34" s="71" t="s">
        <v>45</v>
      </c>
      <c r="F34" s="71">
        <v>25.4</v>
      </c>
      <c r="G34" s="71"/>
      <c r="H34" s="74">
        <v>1.5</v>
      </c>
      <c r="I34" s="75" t="s">
        <v>43</v>
      </c>
      <c r="J34" s="71">
        <v>6</v>
      </c>
      <c r="K34" s="76">
        <f t="shared" si="0"/>
        <v>35</v>
      </c>
      <c r="L34" s="73">
        <v>210</v>
      </c>
      <c r="M34" s="77">
        <v>4.7</v>
      </c>
      <c r="N34" s="78">
        <f t="shared" si="3"/>
        <v>987</v>
      </c>
      <c r="O34" s="79">
        <v>0.8872875</v>
      </c>
      <c r="P34" s="82">
        <f t="shared" si="4"/>
        <v>186.330375</v>
      </c>
      <c r="Q34" s="71">
        <v>73064000</v>
      </c>
      <c r="R34" s="81"/>
    </row>
    <row r="35" s="7" customFormat="1" ht="400" customHeight="1" spans="1:1024 1025:2554">
      <c r="A35" s="70">
        <v>23</v>
      </c>
      <c r="B35" s="71" t="s">
        <v>80</v>
      </c>
      <c r="C35" s="72" t="s">
        <v>41</v>
      </c>
      <c r="D35" s="73" t="s">
        <v>75</v>
      </c>
      <c r="E35" s="71" t="s">
        <v>49</v>
      </c>
      <c r="F35" s="71">
        <v>38.1</v>
      </c>
      <c r="G35" s="71"/>
      <c r="H35" s="74">
        <v>1.5</v>
      </c>
      <c r="I35" s="75" t="s">
        <v>43</v>
      </c>
      <c r="J35" s="71">
        <v>6</v>
      </c>
      <c r="K35" s="76">
        <f t="shared" si="0"/>
        <v>92</v>
      </c>
      <c r="L35" s="73">
        <v>552</v>
      </c>
      <c r="M35" s="77">
        <v>7.06</v>
      </c>
      <c r="N35" s="78">
        <f t="shared" si="3"/>
        <v>3897.12</v>
      </c>
      <c r="O35" s="79">
        <v>1.358775</v>
      </c>
      <c r="P35" s="82">
        <f t="shared" si="4"/>
        <v>750.0438</v>
      </c>
      <c r="Q35" s="71">
        <v>73064000</v>
      </c>
      <c r="R35" s="81"/>
    </row>
    <row r="36" s="7" customFormat="1" ht="400" customHeight="1" spans="1:1024 1025:2554">
      <c r="A36" s="70">
        <v>24</v>
      </c>
      <c r="B36" s="71" t="s">
        <v>81</v>
      </c>
      <c r="C36" s="72" t="s">
        <v>41</v>
      </c>
      <c r="D36" s="73" t="s">
        <v>75</v>
      </c>
      <c r="E36" s="71" t="s">
        <v>51</v>
      </c>
      <c r="F36" s="71">
        <v>50.8</v>
      </c>
      <c r="G36" s="71"/>
      <c r="H36" s="74">
        <v>1.5</v>
      </c>
      <c r="I36" s="75" t="s">
        <v>43</v>
      </c>
      <c r="J36" s="71">
        <v>6</v>
      </c>
      <c r="K36" s="76">
        <f t="shared" si="0"/>
        <v>147</v>
      </c>
      <c r="L36" s="73">
        <v>882</v>
      </c>
      <c r="M36" s="77">
        <v>9.51</v>
      </c>
      <c r="N36" s="78">
        <f t="shared" si="3"/>
        <v>8387.82</v>
      </c>
      <c r="O36" s="79">
        <v>1.8302625</v>
      </c>
      <c r="P36" s="82">
        <f t="shared" si="4"/>
        <v>1614.291525</v>
      </c>
      <c r="Q36" s="71">
        <v>73064000</v>
      </c>
      <c r="R36" s="81"/>
    </row>
    <row r="37" s="7" customFormat="1" ht="400" customHeight="1" spans="1:1024 1025:2554">
      <c r="A37" s="70">
        <v>25</v>
      </c>
      <c r="B37" s="71" t="s">
        <v>82</v>
      </c>
      <c r="C37" s="72" t="s">
        <v>41</v>
      </c>
      <c r="D37" s="73" t="s">
        <v>75</v>
      </c>
      <c r="E37" s="71" t="s">
        <v>53</v>
      </c>
      <c r="F37" s="71">
        <v>63.5</v>
      </c>
      <c r="G37" s="71"/>
      <c r="H37" s="74">
        <v>1.5</v>
      </c>
      <c r="I37" s="75" t="s">
        <v>43</v>
      </c>
      <c r="J37" s="71">
        <v>6</v>
      </c>
      <c r="K37" s="76">
        <f t="shared" si="0"/>
        <v>25</v>
      </c>
      <c r="L37" s="73">
        <v>150</v>
      </c>
      <c r="M37" s="77">
        <v>11.95</v>
      </c>
      <c r="N37" s="78">
        <f t="shared" si="3"/>
        <v>1792.5</v>
      </c>
      <c r="O37" s="79">
        <v>2.30175</v>
      </c>
      <c r="P37" s="82">
        <f t="shared" si="4"/>
        <v>345.2625</v>
      </c>
      <c r="Q37" s="71">
        <v>73064000</v>
      </c>
      <c r="R37" s="81"/>
    </row>
    <row r="38" s="7" customFormat="1" ht="400" customHeight="1" spans="1:1024 1025:2554">
      <c r="A38" s="70">
        <v>26</v>
      </c>
      <c r="B38" s="71" t="s">
        <v>83</v>
      </c>
      <c r="C38" s="72" t="s">
        <v>41</v>
      </c>
      <c r="D38" s="73" t="s">
        <v>75</v>
      </c>
      <c r="E38" s="71" t="s">
        <v>57</v>
      </c>
      <c r="F38" s="71">
        <v>76.2</v>
      </c>
      <c r="G38" s="71"/>
      <c r="H38" s="74">
        <v>2</v>
      </c>
      <c r="I38" s="75" t="s">
        <v>43</v>
      </c>
      <c r="J38" s="71">
        <v>6</v>
      </c>
      <c r="K38" s="76">
        <f t="shared" si="0"/>
        <v>35</v>
      </c>
      <c r="L38" s="73">
        <v>210</v>
      </c>
      <c r="M38" s="77">
        <v>19.08</v>
      </c>
      <c r="N38" s="78">
        <f t="shared" si="3"/>
        <v>4006.8</v>
      </c>
      <c r="O38" s="79">
        <v>3.6729</v>
      </c>
      <c r="P38" s="82">
        <f t="shared" si="4"/>
        <v>771.309</v>
      </c>
      <c r="Q38" s="71">
        <v>73064000</v>
      </c>
      <c r="R38" s="81"/>
    </row>
    <row r="39" s="7" customFormat="1" ht="400" customHeight="1" spans="1:1024 1025:2554">
      <c r="A39" s="70">
        <v>27</v>
      </c>
      <c r="B39" s="71" t="s">
        <v>84</v>
      </c>
      <c r="C39" s="72" t="s">
        <v>41</v>
      </c>
      <c r="D39" s="73" t="s">
        <v>75</v>
      </c>
      <c r="E39" s="71" t="s">
        <v>61</v>
      </c>
      <c r="F39" s="71">
        <v>101.6</v>
      </c>
      <c r="G39" s="71"/>
      <c r="H39" s="74">
        <v>2</v>
      </c>
      <c r="I39" s="75" t="s">
        <v>43</v>
      </c>
      <c r="J39" s="71">
        <v>6</v>
      </c>
      <c r="K39" s="76">
        <f t="shared" si="0"/>
        <v>35</v>
      </c>
      <c r="L39" s="73">
        <v>210</v>
      </c>
      <c r="M39" s="77">
        <v>25.64</v>
      </c>
      <c r="N39" s="78">
        <f t="shared" si="3"/>
        <v>5384.4</v>
      </c>
      <c r="O39" s="79">
        <v>4.9302</v>
      </c>
      <c r="P39" s="82">
        <f t="shared" si="4"/>
        <v>1035.342</v>
      </c>
      <c r="Q39" s="71">
        <v>73064000</v>
      </c>
      <c r="R39" s="81"/>
    </row>
    <row r="40" s="7" customFormat="1" ht="400" customHeight="1" spans="1:1024 1025:2554">
      <c r="A40" s="70">
        <v>28</v>
      </c>
      <c r="B40" s="71" t="s">
        <v>85</v>
      </c>
      <c r="C40" s="72" t="s">
        <v>41</v>
      </c>
      <c r="D40" s="73" t="s">
        <v>75</v>
      </c>
      <c r="E40" s="71" t="s">
        <v>65</v>
      </c>
      <c r="F40" s="71">
        <v>152.4</v>
      </c>
      <c r="G40" s="71"/>
      <c r="H40" s="74">
        <v>2</v>
      </c>
      <c r="I40" s="75" t="s">
        <v>43</v>
      </c>
      <c r="J40" s="71">
        <v>6</v>
      </c>
      <c r="K40" s="76">
        <f t="shared" si="0"/>
        <v>34</v>
      </c>
      <c r="L40" s="73">
        <v>204</v>
      </c>
      <c r="M40" s="77">
        <v>38.7</v>
      </c>
      <c r="N40" s="78">
        <f t="shared" si="3"/>
        <v>7894.8</v>
      </c>
      <c r="O40" s="79">
        <v>7.4448</v>
      </c>
      <c r="P40" s="82">
        <f t="shared" si="4"/>
        <v>1518.7392</v>
      </c>
      <c r="Q40" s="71">
        <v>73064000</v>
      </c>
      <c r="R40" s="81"/>
    </row>
    <row r="41" s="8" customFormat="1" ht="400" customHeight="1" spans="1:1024 1025:2554">
      <c r="A41" s="70">
        <v>29</v>
      </c>
      <c r="B41" s="71" t="s">
        <v>86</v>
      </c>
      <c r="C41" s="72" t="s">
        <v>41</v>
      </c>
      <c r="D41" s="73" t="s">
        <v>75</v>
      </c>
      <c r="E41" s="71" t="s">
        <v>87</v>
      </c>
      <c r="F41" s="71">
        <v>25.4</v>
      </c>
      <c r="G41" s="71"/>
      <c r="H41" s="74">
        <v>1.65</v>
      </c>
      <c r="I41" s="75" t="s">
        <v>43</v>
      </c>
      <c r="J41" s="71">
        <v>6</v>
      </c>
      <c r="K41" s="76">
        <f t="shared" si="0"/>
        <v>40</v>
      </c>
      <c r="L41" s="73">
        <v>240</v>
      </c>
      <c r="M41" s="77">
        <v>5</v>
      </c>
      <c r="N41" s="78">
        <f t="shared" si="3"/>
        <v>1200</v>
      </c>
      <c r="O41" s="79">
        <v>0.952</v>
      </c>
      <c r="P41" s="82">
        <f t="shared" si="4"/>
        <v>228.48</v>
      </c>
      <c r="Q41" s="71">
        <v>73064000</v>
      </c>
      <c r="R41" s="81"/>
      <c r="S41" s="83"/>
      <c r="T41" s="82"/>
      <c r="U41" s="84"/>
      <c r="V41" s="84"/>
      <c r="W41" s="84"/>
      <c r="X41" s="72"/>
      <c r="Y41" s="85"/>
      <c r="Z41" s="72"/>
      <c r="AA41" s="72"/>
      <c r="AB41" s="85"/>
      <c r="AC41" s="71"/>
      <c r="AD41" s="71"/>
      <c r="AE41" s="72"/>
      <c r="AF41" s="85"/>
      <c r="AG41" s="76"/>
      <c r="AH41" s="76"/>
      <c r="AI41" s="76"/>
      <c r="AJ41" s="76"/>
      <c r="AK41" s="77"/>
      <c r="AL41" s="86"/>
      <c r="AM41" s="82"/>
      <c r="AN41" s="82"/>
      <c r="AO41" s="82"/>
      <c r="AP41" s="82"/>
      <c r="AQ41" s="84"/>
      <c r="AR41" s="84"/>
      <c r="AS41" s="84"/>
      <c r="AT41" s="72"/>
      <c r="AU41" s="85"/>
      <c r="AV41" s="72"/>
      <c r="AW41" s="72"/>
      <c r="AX41" s="85"/>
      <c r="AY41" s="71"/>
      <c r="AZ41" s="71"/>
      <c r="BA41" s="72"/>
      <c r="BB41" s="85"/>
      <c r="BC41" s="76"/>
      <c r="BD41" s="76"/>
      <c r="BE41" s="76"/>
      <c r="BF41" s="76"/>
      <c r="BG41" s="77"/>
      <c r="BH41" s="86"/>
      <c r="BI41" s="82"/>
      <c r="BJ41" s="82"/>
      <c r="BK41" s="82"/>
      <c r="BL41" s="82"/>
      <c r="BM41" s="84"/>
      <c r="BN41" s="84"/>
      <c r="BO41" s="84"/>
      <c r="BP41" s="72"/>
      <c r="BQ41" s="85"/>
      <c r="BR41" s="72"/>
      <c r="BS41" s="72"/>
      <c r="BT41" s="85"/>
      <c r="BU41" s="71"/>
      <c r="BV41" s="71"/>
      <c r="BW41" s="72"/>
      <c r="BX41" s="85"/>
      <c r="BY41" s="76"/>
      <c r="BZ41" s="76"/>
      <c r="CA41" s="76"/>
      <c r="CB41" s="76"/>
      <c r="CC41" s="77"/>
      <c r="CD41" s="86"/>
      <c r="CE41" s="82"/>
      <c r="CF41" s="82"/>
      <c r="CG41" s="82"/>
      <c r="CH41" s="82"/>
      <c r="CI41" s="84"/>
      <c r="CJ41" s="84"/>
      <c r="CK41" s="84"/>
      <c r="CL41" s="72"/>
      <c r="CM41" s="85"/>
      <c r="CN41" s="72"/>
      <c r="CO41" s="72"/>
      <c r="CP41" s="85"/>
      <c r="CQ41" s="71"/>
      <c r="CR41" s="71"/>
      <c r="CS41" s="72"/>
      <c r="CT41" s="85"/>
      <c r="CU41" s="76"/>
      <c r="CV41" s="76"/>
      <c r="CW41" s="76"/>
      <c r="CX41" s="76"/>
      <c r="CY41" s="77"/>
      <c r="CZ41" s="86"/>
      <c r="DA41" s="82"/>
      <c r="DB41" s="82"/>
      <c r="DC41" s="82"/>
      <c r="DD41" s="82"/>
      <c r="DE41" s="84"/>
      <c r="DF41" s="84"/>
      <c r="DG41" s="84"/>
      <c r="DH41" s="72"/>
      <c r="DI41" s="85"/>
      <c r="DJ41" s="72"/>
      <c r="DK41" s="72"/>
      <c r="DL41" s="85"/>
      <c r="DM41" s="71"/>
      <c r="DN41" s="71"/>
      <c r="DO41" s="72"/>
      <c r="DP41" s="85"/>
      <c r="DQ41" s="76"/>
      <c r="DR41" s="76"/>
      <c r="DS41" s="76"/>
      <c r="DT41" s="76"/>
      <c r="DU41" s="77"/>
      <c r="DV41" s="86"/>
      <c r="DW41" s="82"/>
      <c r="DX41" s="82"/>
      <c r="DY41" s="82"/>
      <c r="DZ41" s="82"/>
      <c r="EA41" s="84"/>
      <c r="EB41" s="84"/>
      <c r="EC41" s="84"/>
      <c r="ED41" s="72"/>
      <c r="EE41" s="85"/>
      <c r="EF41" s="72"/>
      <c r="EG41" s="72"/>
      <c r="EH41" s="85"/>
      <c r="EI41" s="71"/>
      <c r="EJ41" s="71"/>
      <c r="EK41" s="72"/>
      <c r="EL41" s="85"/>
      <c r="EM41" s="76"/>
      <c r="EN41" s="76"/>
      <c r="EO41" s="76"/>
      <c r="EP41" s="76"/>
      <c r="EQ41" s="77"/>
      <c r="ER41" s="86"/>
      <c r="ES41" s="82"/>
      <c r="ET41" s="82"/>
      <c r="EU41" s="82"/>
      <c r="EV41" s="82"/>
      <c r="EW41" s="84"/>
      <c r="EX41" s="84"/>
      <c r="EY41" s="84"/>
      <c r="EZ41" s="72"/>
      <c r="FA41" s="85"/>
      <c r="FB41" s="72"/>
      <c r="FC41" s="72"/>
      <c r="FD41" s="85"/>
      <c r="FE41" s="71"/>
      <c r="FF41" s="71"/>
      <c r="FG41" s="72"/>
      <c r="FH41" s="85"/>
      <c r="FI41" s="76"/>
      <c r="FJ41" s="76"/>
      <c r="FK41" s="76"/>
      <c r="FL41" s="76"/>
      <c r="FM41" s="77"/>
      <c r="FN41" s="86"/>
      <c r="FO41" s="82"/>
      <c r="FP41" s="82"/>
      <c r="FQ41" s="82"/>
      <c r="FR41" s="82"/>
      <c r="FS41" s="84"/>
      <c r="FT41" s="84"/>
      <c r="FU41" s="84"/>
      <c r="FV41" s="72"/>
      <c r="FW41" s="85"/>
      <c r="FX41" s="72"/>
      <c r="FY41" s="72"/>
      <c r="FZ41" s="85"/>
      <c r="GA41" s="71"/>
      <c r="GB41" s="71"/>
      <c r="GC41" s="72"/>
      <c r="GD41" s="85"/>
      <c r="GE41" s="76"/>
      <c r="GF41" s="76"/>
      <c r="GG41" s="76"/>
      <c r="GH41" s="76"/>
      <c r="GI41" s="77"/>
      <c r="GJ41" s="86"/>
      <c r="GK41" s="82"/>
      <c r="GL41" s="82"/>
      <c r="GM41" s="82"/>
      <c r="GN41" s="82"/>
      <c r="GO41" s="84"/>
      <c r="GP41" s="84"/>
      <c r="GQ41" s="84"/>
      <c r="GR41" s="72"/>
      <c r="GS41" s="85"/>
      <c r="GT41" s="72"/>
      <c r="GU41" s="72"/>
      <c r="GV41" s="85"/>
      <c r="GW41" s="71"/>
      <c r="GX41" s="71"/>
      <c r="GY41" s="72"/>
      <c r="GZ41" s="85"/>
      <c r="HA41" s="76"/>
      <c r="HB41" s="76"/>
      <c r="HC41" s="76"/>
      <c r="HD41" s="76"/>
      <c r="HE41" s="77"/>
      <c r="HF41" s="86"/>
      <c r="HG41" s="82"/>
      <c r="HH41" s="82"/>
      <c r="HI41" s="82"/>
      <c r="HJ41" s="82"/>
      <c r="HK41" s="84"/>
      <c r="HL41" s="84"/>
      <c r="HM41" s="84"/>
      <c r="HN41" s="72"/>
      <c r="HO41" s="85"/>
      <c r="HP41" s="72"/>
      <c r="HQ41" s="72"/>
      <c r="HR41" s="85"/>
      <c r="HS41" s="71"/>
      <c r="HT41" s="71"/>
      <c r="HU41" s="72"/>
      <c r="HV41" s="85"/>
      <c r="HW41" s="76"/>
      <c r="HX41" s="76"/>
      <c r="HY41" s="76"/>
      <c r="HZ41" s="76"/>
      <c r="IA41" s="77"/>
      <c r="IB41" s="86"/>
      <c r="IC41" s="82"/>
      <c r="ID41" s="82"/>
      <c r="IE41" s="82"/>
      <c r="IF41" s="82"/>
      <c r="IG41" s="84"/>
      <c r="IH41" s="84"/>
      <c r="II41" s="84"/>
      <c r="IJ41" s="72"/>
      <c r="IK41" s="85"/>
      <c r="IL41" s="72"/>
      <c r="IM41" s="72"/>
      <c r="IN41" s="85"/>
      <c r="IO41" s="71"/>
      <c r="IP41" s="71"/>
      <c r="IQ41" s="72"/>
      <c r="IR41" s="85"/>
      <c r="IS41" s="76"/>
      <c r="IT41" s="76"/>
      <c r="IU41" s="76"/>
      <c r="IV41" s="76"/>
      <c r="IW41" s="77"/>
      <c r="IX41" s="86"/>
      <c r="IY41" s="82"/>
      <c r="IZ41" s="82"/>
      <c r="JA41" s="82"/>
      <c r="JB41" s="82"/>
      <c r="JC41" s="84"/>
      <c r="JD41" s="84"/>
      <c r="JE41" s="84"/>
      <c r="JF41" s="72"/>
      <c r="JG41" s="85"/>
      <c r="JH41" s="72"/>
      <c r="JI41" s="72"/>
      <c r="JJ41" s="85"/>
      <c r="JK41" s="71"/>
      <c r="JL41" s="71"/>
      <c r="JM41" s="72"/>
      <c r="JN41" s="85"/>
      <c r="JO41" s="76"/>
      <c r="JP41" s="76"/>
      <c r="JQ41" s="76"/>
      <c r="JR41" s="76"/>
      <c r="JS41" s="77"/>
      <c r="JT41" s="86"/>
      <c r="JU41" s="82"/>
      <c r="JV41" s="82"/>
      <c r="JW41" s="82"/>
      <c r="JX41" s="82"/>
      <c r="JY41" s="84"/>
      <c r="JZ41" s="84"/>
      <c r="KA41" s="84"/>
      <c r="KB41" s="72"/>
      <c r="KC41" s="85"/>
      <c r="KD41" s="72"/>
      <c r="KE41" s="72"/>
      <c r="KF41" s="85"/>
      <c r="KG41" s="71"/>
      <c r="KH41" s="71"/>
      <c r="KI41" s="72"/>
      <c r="KJ41" s="85"/>
      <c r="KK41" s="76"/>
      <c r="KL41" s="76"/>
      <c r="KM41" s="76"/>
      <c r="KN41" s="76"/>
      <c r="KO41" s="77"/>
      <c r="KP41" s="86"/>
      <c r="KQ41" s="82"/>
      <c r="KR41" s="82"/>
      <c r="KS41" s="82"/>
      <c r="KT41" s="82"/>
      <c r="KU41" s="84"/>
      <c r="KV41" s="84"/>
      <c r="KW41" s="84"/>
      <c r="KX41" s="72"/>
      <c r="KY41" s="85"/>
      <c r="KZ41" s="72"/>
      <c r="LA41" s="72"/>
      <c r="LB41" s="85"/>
      <c r="LC41" s="71"/>
      <c r="LD41" s="71"/>
      <c r="LE41" s="72"/>
      <c r="LF41" s="85"/>
      <c r="LG41" s="76"/>
      <c r="LH41" s="76"/>
      <c r="LI41" s="76"/>
      <c r="LJ41" s="76"/>
      <c r="LK41" s="77"/>
      <c r="LL41" s="86"/>
      <c r="LM41" s="82"/>
      <c r="LN41" s="82"/>
      <c r="LO41" s="82"/>
      <c r="LP41" s="82"/>
      <c r="LQ41" s="84"/>
      <c r="LR41" s="84"/>
      <c r="LS41" s="84"/>
      <c r="LT41" s="72"/>
      <c r="LU41" s="85"/>
      <c r="LV41" s="72"/>
      <c r="LW41" s="72"/>
      <c r="LX41" s="85"/>
      <c r="LY41" s="71"/>
      <c r="LZ41" s="71"/>
      <c r="MA41" s="72"/>
      <c r="MB41" s="85"/>
      <c r="MC41" s="76"/>
      <c r="MD41" s="76"/>
      <c r="ME41" s="76"/>
      <c r="MF41" s="76"/>
      <c r="MG41" s="77"/>
      <c r="MH41" s="86"/>
      <c r="MI41" s="82"/>
      <c r="MJ41" s="82"/>
      <c r="MK41" s="82"/>
      <c r="ML41" s="82"/>
      <c r="MM41" s="84"/>
      <c r="MN41" s="84"/>
      <c r="MO41" s="84"/>
      <c r="MP41" s="72"/>
      <c r="MQ41" s="85"/>
      <c r="MR41" s="72"/>
      <c r="MS41" s="72"/>
      <c r="MT41" s="85"/>
      <c r="MU41" s="71"/>
      <c r="MV41" s="71"/>
      <c r="MW41" s="72"/>
      <c r="MX41" s="85"/>
      <c r="MY41" s="76"/>
      <c r="MZ41" s="76"/>
      <c r="NA41" s="76"/>
      <c r="NB41" s="76"/>
      <c r="NC41" s="77"/>
      <c r="ND41" s="86"/>
      <c r="NE41" s="82"/>
      <c r="NF41" s="82"/>
      <c r="NG41" s="82"/>
      <c r="NH41" s="82"/>
      <c r="NI41" s="84"/>
      <c r="NJ41" s="84"/>
      <c r="NK41" s="84"/>
      <c r="NL41" s="72"/>
      <c r="NM41" s="85"/>
      <c r="NN41" s="72"/>
      <c r="NO41" s="72"/>
      <c r="NP41" s="85"/>
      <c r="NQ41" s="71"/>
      <c r="NR41" s="71"/>
      <c r="NS41" s="72"/>
      <c r="NT41" s="85"/>
      <c r="NU41" s="76"/>
      <c r="NV41" s="76"/>
      <c r="NW41" s="76"/>
      <c r="NX41" s="76"/>
      <c r="NY41" s="77"/>
      <c r="NZ41" s="86"/>
      <c r="OA41" s="82"/>
      <c r="OB41" s="82"/>
      <c r="OC41" s="82"/>
      <c r="OD41" s="82"/>
      <c r="OE41" s="84"/>
      <c r="OF41" s="84"/>
      <c r="OG41" s="84"/>
      <c r="OH41" s="72"/>
      <c r="OI41" s="85"/>
      <c r="OJ41" s="72"/>
      <c r="OK41" s="72"/>
      <c r="OL41" s="85"/>
      <c r="OM41" s="71"/>
      <c r="ON41" s="71"/>
      <c r="OO41" s="72"/>
      <c r="OP41" s="85"/>
      <c r="OQ41" s="76"/>
      <c r="OR41" s="76"/>
      <c r="OS41" s="76"/>
      <c r="OT41" s="76"/>
      <c r="OU41" s="77"/>
      <c r="OV41" s="86"/>
      <c r="OW41" s="82"/>
      <c r="OX41" s="82"/>
      <c r="OY41" s="82"/>
      <c r="OZ41" s="82"/>
      <c r="PA41" s="84"/>
      <c r="PB41" s="84"/>
      <c r="PC41" s="84"/>
      <c r="PD41" s="72"/>
      <c r="PE41" s="85"/>
      <c r="PF41" s="72"/>
      <c r="PG41" s="72"/>
      <c r="PH41" s="85"/>
      <c r="PI41" s="71"/>
      <c r="PJ41" s="71"/>
      <c r="PK41" s="72"/>
      <c r="PL41" s="85"/>
      <c r="PM41" s="76"/>
      <c r="PN41" s="76"/>
      <c r="PO41" s="76"/>
      <c r="PP41" s="76"/>
      <c r="PQ41" s="77"/>
      <c r="PR41" s="86"/>
      <c r="PS41" s="82"/>
      <c r="PT41" s="82"/>
      <c r="PU41" s="82"/>
      <c r="PV41" s="82"/>
      <c r="PW41" s="84"/>
      <c r="PX41" s="84"/>
      <c r="PY41" s="84"/>
      <c r="PZ41" s="72"/>
      <c r="QA41" s="85"/>
      <c r="QB41" s="72"/>
      <c r="QC41" s="72"/>
      <c r="QD41" s="85"/>
      <c r="QE41" s="71"/>
      <c r="QF41" s="71"/>
      <c r="QG41" s="72"/>
      <c r="QH41" s="85"/>
      <c r="QI41" s="76"/>
      <c r="QJ41" s="76"/>
      <c r="QK41" s="76"/>
      <c r="QL41" s="76"/>
      <c r="QM41" s="77"/>
      <c r="QN41" s="86"/>
      <c r="QO41" s="82"/>
      <c r="QP41" s="82"/>
      <c r="QQ41" s="82"/>
      <c r="QR41" s="82"/>
      <c r="QS41" s="84"/>
      <c r="QT41" s="84"/>
      <c r="QU41" s="84"/>
      <c r="QV41" s="72"/>
      <c r="QW41" s="85"/>
      <c r="QX41" s="72"/>
      <c r="QY41" s="72"/>
      <c r="QZ41" s="85"/>
      <c r="RA41" s="71"/>
      <c r="RB41" s="71"/>
      <c r="RC41" s="72"/>
      <c r="RD41" s="85"/>
      <c r="RE41" s="76"/>
      <c r="RF41" s="76"/>
      <c r="RG41" s="76"/>
      <c r="RH41" s="76"/>
      <c r="RI41" s="77"/>
      <c r="RJ41" s="86"/>
      <c r="RK41" s="82"/>
      <c r="RL41" s="82"/>
      <c r="RM41" s="82"/>
      <c r="RN41" s="82"/>
      <c r="RO41" s="84"/>
      <c r="RP41" s="84"/>
      <c r="RQ41" s="84"/>
      <c r="RR41" s="72"/>
      <c r="RS41" s="85"/>
      <c r="RT41" s="72"/>
      <c r="RU41" s="72"/>
      <c r="RV41" s="85"/>
      <c r="RW41" s="71"/>
      <c r="RX41" s="71"/>
      <c r="RY41" s="72"/>
      <c r="RZ41" s="85"/>
      <c r="SA41" s="76"/>
      <c r="SB41" s="76"/>
      <c r="SC41" s="76"/>
      <c r="SD41" s="76"/>
      <c r="SE41" s="77"/>
      <c r="SF41" s="86"/>
      <c r="SG41" s="82"/>
      <c r="SH41" s="82"/>
      <c r="SI41" s="82"/>
      <c r="SJ41" s="82"/>
      <c r="SK41" s="84"/>
      <c r="SL41" s="84"/>
      <c r="SM41" s="84"/>
      <c r="SN41" s="72"/>
      <c r="SO41" s="85"/>
      <c r="SP41" s="72"/>
      <c r="SQ41" s="72"/>
      <c r="SR41" s="85"/>
      <c r="SS41" s="71"/>
      <c r="ST41" s="71"/>
      <c r="SU41" s="72"/>
      <c r="SV41" s="85"/>
      <c r="SW41" s="76"/>
      <c r="SX41" s="76"/>
      <c r="SY41" s="76"/>
      <c r="SZ41" s="76"/>
      <c r="TA41" s="77"/>
      <c r="TB41" s="86"/>
      <c r="TC41" s="82"/>
      <c r="TD41" s="82"/>
      <c r="TE41" s="82"/>
      <c r="TF41" s="82"/>
      <c r="TG41" s="84"/>
      <c r="TH41" s="84"/>
      <c r="TI41" s="84"/>
      <c r="TJ41" s="72"/>
      <c r="TK41" s="85"/>
      <c r="TL41" s="72"/>
      <c r="TM41" s="72"/>
      <c r="TN41" s="85"/>
      <c r="TO41" s="71"/>
      <c r="TP41" s="71"/>
      <c r="TQ41" s="72"/>
      <c r="TR41" s="85"/>
      <c r="TS41" s="76"/>
      <c r="TT41" s="76"/>
      <c r="TU41" s="76"/>
      <c r="TV41" s="76"/>
      <c r="TW41" s="77"/>
      <c r="TX41" s="86"/>
      <c r="TY41" s="82"/>
      <c r="TZ41" s="82"/>
      <c r="UA41" s="82"/>
      <c r="UB41" s="82"/>
      <c r="UC41" s="84"/>
      <c r="UD41" s="84"/>
      <c r="UE41" s="84"/>
      <c r="UF41" s="72"/>
      <c r="UG41" s="85"/>
      <c r="UH41" s="72"/>
      <c r="UI41" s="72"/>
      <c r="UJ41" s="85"/>
      <c r="UK41" s="71"/>
      <c r="UL41" s="71"/>
      <c r="UM41" s="72"/>
      <c r="UN41" s="85"/>
      <c r="UO41" s="76"/>
      <c r="UP41" s="76"/>
      <c r="UQ41" s="76"/>
      <c r="UR41" s="76"/>
      <c r="US41" s="77"/>
      <c r="UT41" s="86"/>
      <c r="UU41" s="82"/>
      <c r="UV41" s="82"/>
      <c r="UW41" s="82"/>
      <c r="UX41" s="82"/>
      <c r="UY41" s="84"/>
      <c r="UZ41" s="84"/>
      <c r="VA41" s="84"/>
      <c r="VB41" s="72"/>
      <c r="VC41" s="85"/>
      <c r="VD41" s="72"/>
      <c r="VE41" s="72"/>
      <c r="VF41" s="85"/>
      <c r="VG41" s="71"/>
      <c r="VH41" s="71"/>
      <c r="VI41" s="72"/>
      <c r="VJ41" s="85"/>
      <c r="VK41" s="76"/>
      <c r="VL41" s="76"/>
      <c r="VM41" s="76"/>
      <c r="VN41" s="76"/>
      <c r="VO41" s="77"/>
      <c r="VP41" s="86"/>
      <c r="VQ41" s="82"/>
      <c r="VR41" s="82"/>
      <c r="VS41" s="82"/>
      <c r="VT41" s="82"/>
      <c r="VU41" s="84"/>
      <c r="VV41" s="84"/>
      <c r="VW41" s="84"/>
      <c r="VX41" s="72"/>
      <c r="VY41" s="85"/>
      <c r="VZ41" s="72"/>
      <c r="WA41" s="72"/>
      <c r="WB41" s="85"/>
      <c r="WC41" s="71"/>
      <c r="WD41" s="71"/>
      <c r="WE41" s="72"/>
      <c r="WF41" s="85"/>
      <c r="WG41" s="76"/>
      <c r="WH41" s="76"/>
      <c r="WI41" s="76"/>
      <c r="WJ41" s="76"/>
      <c r="WK41" s="77"/>
      <c r="WL41" s="86"/>
      <c r="WM41" s="82"/>
      <c r="WN41" s="82"/>
      <c r="WO41" s="82"/>
      <c r="WP41" s="82"/>
      <c r="WQ41" s="84"/>
      <c r="WR41" s="84"/>
      <c r="WS41" s="84"/>
      <c r="WT41" s="72"/>
      <c r="WU41" s="85"/>
      <c r="WV41" s="72"/>
      <c r="WW41" s="72"/>
      <c r="WX41" s="85"/>
      <c r="WY41" s="71"/>
      <c r="WZ41" s="71"/>
      <c r="XA41" s="72"/>
      <c r="XB41" s="85"/>
      <c r="XC41" s="76"/>
      <c r="XD41" s="76"/>
      <c r="XE41" s="76"/>
      <c r="XF41" s="76"/>
      <c r="XG41" s="77"/>
      <c r="XH41" s="86"/>
      <c r="XI41" s="82"/>
      <c r="XJ41" s="82"/>
      <c r="XK41" s="82"/>
      <c r="XL41" s="82"/>
      <c r="XM41" s="84"/>
      <c r="XN41" s="84"/>
      <c r="XO41" s="84"/>
      <c r="XP41" s="72"/>
      <c r="XQ41" s="85"/>
      <c r="XR41" s="72"/>
      <c r="XS41" s="72"/>
      <c r="XT41" s="85"/>
      <c r="XU41" s="71"/>
      <c r="XV41" s="71"/>
      <c r="XW41" s="72"/>
      <c r="XX41" s="85"/>
      <c r="XY41" s="76"/>
      <c r="XZ41" s="76"/>
      <c r="YA41" s="76"/>
      <c r="YB41" s="76"/>
      <c r="YC41" s="77"/>
      <c r="YD41" s="86"/>
      <c r="YE41" s="82"/>
      <c r="YF41" s="82"/>
      <c r="YG41" s="82"/>
      <c r="YH41" s="82"/>
      <c r="YI41" s="84"/>
      <c r="YJ41" s="84"/>
      <c r="YK41" s="84"/>
      <c r="YL41" s="72"/>
      <c r="YM41" s="85"/>
      <c r="YN41" s="72"/>
      <c r="YO41" s="72"/>
      <c r="YP41" s="85"/>
      <c r="YQ41" s="71"/>
      <c r="YR41" s="71"/>
      <c r="YS41" s="72"/>
      <c r="YT41" s="85"/>
      <c r="YU41" s="76"/>
      <c r="YV41" s="76"/>
      <c r="YW41" s="76"/>
      <c r="YX41" s="76"/>
      <c r="YY41" s="77"/>
      <c r="YZ41" s="86"/>
      <c r="ZA41" s="82"/>
      <c r="ZB41" s="82"/>
      <c r="ZC41" s="82"/>
      <c r="ZD41" s="82"/>
      <c r="ZE41" s="84"/>
      <c r="ZF41" s="84"/>
      <c r="ZG41" s="84"/>
      <c r="ZH41" s="72"/>
      <c r="ZI41" s="85"/>
      <c r="ZJ41" s="72"/>
      <c r="ZK41" s="72"/>
      <c r="ZL41" s="85"/>
      <c r="ZM41" s="71"/>
      <c r="ZN41" s="71"/>
      <c r="ZO41" s="72"/>
      <c r="ZP41" s="85"/>
      <c r="ZQ41" s="76"/>
      <c r="ZR41" s="76"/>
      <c r="ZS41" s="76"/>
      <c r="ZT41" s="76"/>
      <c r="ZU41" s="77"/>
      <c r="ZV41" s="86"/>
      <c r="ZW41" s="82"/>
      <c r="ZX41" s="82"/>
      <c r="ZY41" s="82"/>
      <c r="ZZ41" s="82"/>
      <c r="AAA41" s="84"/>
      <c r="AAB41" s="84"/>
      <c r="AAC41" s="84"/>
      <c r="AAD41" s="72"/>
      <c r="AAE41" s="85"/>
      <c r="AAF41" s="72"/>
      <c r="AAG41" s="72"/>
      <c r="AAH41" s="85"/>
      <c r="AAI41" s="71"/>
      <c r="AAJ41" s="71"/>
      <c r="AAK41" s="72"/>
      <c r="AAL41" s="85"/>
      <c r="AAM41" s="76"/>
      <c r="AAN41" s="76"/>
      <c r="AAO41" s="76"/>
      <c r="AAP41" s="76"/>
      <c r="AAQ41" s="77"/>
      <c r="AAR41" s="86"/>
      <c r="AAS41" s="82"/>
      <c r="AAT41" s="82"/>
      <c r="AAU41" s="82"/>
      <c r="AAV41" s="82"/>
      <c r="AAW41" s="84"/>
      <c r="AAX41" s="84"/>
      <c r="AAY41" s="84"/>
      <c r="AAZ41" s="72"/>
      <c r="ABA41" s="85"/>
      <c r="ABB41" s="72"/>
      <c r="ABC41" s="72"/>
      <c r="ABD41" s="85"/>
      <c r="ABE41" s="71"/>
      <c r="ABF41" s="71"/>
      <c r="ABG41" s="72"/>
      <c r="ABH41" s="85"/>
      <c r="ABI41" s="76"/>
      <c r="ABJ41" s="76"/>
      <c r="ABK41" s="76"/>
      <c r="ABL41" s="76"/>
      <c r="ABM41" s="77"/>
      <c r="ABN41" s="86"/>
      <c r="ABO41" s="82"/>
      <c r="ABP41" s="82"/>
      <c r="ABQ41" s="82"/>
      <c r="ABR41" s="82"/>
      <c r="ABS41" s="84"/>
      <c r="ABT41" s="84"/>
      <c r="ABU41" s="84"/>
      <c r="ABV41" s="72"/>
      <c r="ABW41" s="85"/>
      <c r="ABX41" s="72"/>
      <c r="ABY41" s="72"/>
      <c r="ABZ41" s="85"/>
      <c r="ACA41" s="71"/>
      <c r="ACB41" s="71"/>
      <c r="ACC41" s="72"/>
      <c r="ACD41" s="85"/>
      <c r="ACE41" s="76"/>
      <c r="ACF41" s="76"/>
      <c r="ACG41" s="76"/>
      <c r="ACH41" s="76"/>
      <c r="ACI41" s="77"/>
      <c r="ACJ41" s="86"/>
      <c r="ACK41" s="82"/>
      <c r="ACL41" s="82"/>
      <c r="ACM41" s="82"/>
      <c r="ACN41" s="82"/>
      <c r="ACO41" s="84"/>
      <c r="ACP41" s="84"/>
      <c r="ACQ41" s="84"/>
      <c r="ACR41" s="72"/>
      <c r="ACS41" s="85"/>
      <c r="ACT41" s="72"/>
      <c r="ACU41" s="72"/>
      <c r="ACV41" s="85"/>
      <c r="ACW41" s="71"/>
      <c r="ACX41" s="71"/>
      <c r="ACY41" s="72"/>
      <c r="ACZ41" s="85"/>
      <c r="ADA41" s="76"/>
      <c r="ADB41" s="76"/>
      <c r="ADC41" s="76"/>
      <c r="ADD41" s="76"/>
      <c r="ADE41" s="77"/>
      <c r="ADF41" s="86"/>
      <c r="ADG41" s="82"/>
      <c r="ADH41" s="82"/>
      <c r="ADI41" s="82"/>
      <c r="ADJ41" s="82"/>
      <c r="ADK41" s="84"/>
      <c r="ADL41" s="84"/>
      <c r="ADM41" s="84"/>
      <c r="ADN41" s="72"/>
      <c r="ADO41" s="85"/>
      <c r="ADP41" s="72"/>
      <c r="ADQ41" s="72"/>
      <c r="ADR41" s="85"/>
      <c r="ADS41" s="71"/>
      <c r="ADT41" s="71"/>
      <c r="ADU41" s="72"/>
      <c r="ADV41" s="85"/>
      <c r="ADW41" s="76"/>
      <c r="ADX41" s="76"/>
      <c r="ADY41" s="76"/>
      <c r="ADZ41" s="76"/>
      <c r="AEA41" s="77"/>
      <c r="AEB41" s="86"/>
      <c r="AEC41" s="82"/>
      <c r="AED41" s="82"/>
      <c r="AEE41" s="82"/>
      <c r="AEF41" s="82"/>
      <c r="AEG41" s="84"/>
      <c r="AEH41" s="84"/>
      <c r="AEI41" s="84"/>
      <c r="AEJ41" s="72"/>
      <c r="AEK41" s="85"/>
      <c r="AEL41" s="72"/>
      <c r="AEM41" s="72"/>
      <c r="AEN41" s="85"/>
      <c r="AEO41" s="71"/>
      <c r="AEP41" s="71"/>
      <c r="AEQ41" s="72"/>
      <c r="AER41" s="85"/>
      <c r="AES41" s="76"/>
      <c r="AET41" s="76"/>
      <c r="AEU41" s="76"/>
      <c r="AEV41" s="76"/>
      <c r="AEW41" s="77"/>
      <c r="AEX41" s="86"/>
      <c r="AEY41" s="82"/>
      <c r="AEZ41" s="82"/>
      <c r="AFA41" s="82"/>
      <c r="AFB41" s="82"/>
      <c r="AFC41" s="84"/>
      <c r="AFD41" s="84"/>
      <c r="AFE41" s="84"/>
      <c r="AFF41" s="72"/>
      <c r="AFG41" s="85"/>
      <c r="AFH41" s="72"/>
      <c r="AFI41" s="72"/>
      <c r="AFJ41" s="85"/>
      <c r="AFK41" s="71"/>
      <c r="AFL41" s="71"/>
      <c r="AFM41" s="72"/>
      <c r="AFN41" s="85"/>
      <c r="AFO41" s="76"/>
      <c r="AFP41" s="76"/>
      <c r="AFQ41" s="76"/>
      <c r="AFR41" s="76"/>
      <c r="AFS41" s="77"/>
      <c r="AFT41" s="86"/>
      <c r="AFU41" s="82"/>
      <c r="AFV41" s="82"/>
      <c r="AFW41" s="82"/>
      <c r="AFX41" s="82"/>
      <c r="AFY41" s="84"/>
      <c r="AFZ41" s="84"/>
      <c r="AGA41" s="84"/>
      <c r="AGB41" s="72"/>
      <c r="AGC41" s="85"/>
      <c r="AGD41" s="72"/>
      <c r="AGE41" s="72"/>
      <c r="AGF41" s="85"/>
      <c r="AGG41" s="71"/>
      <c r="AGH41" s="71"/>
      <c r="AGI41" s="72"/>
      <c r="AGJ41" s="85"/>
      <c r="AGK41" s="76"/>
      <c r="AGL41" s="76"/>
      <c r="AGM41" s="76"/>
      <c r="AGN41" s="76"/>
      <c r="AGO41" s="77"/>
      <c r="AGP41" s="86"/>
      <c r="AGQ41" s="82"/>
      <c r="AGR41" s="82"/>
      <c r="AGS41" s="82"/>
      <c r="AGT41" s="82"/>
      <c r="AGU41" s="84"/>
      <c r="AGV41" s="84"/>
      <c r="AGW41" s="84"/>
      <c r="AGX41" s="72"/>
      <c r="AGY41" s="85"/>
      <c r="AGZ41" s="72"/>
      <c r="AHA41" s="72"/>
      <c r="AHB41" s="85"/>
      <c r="AHC41" s="71"/>
      <c r="AHD41" s="71"/>
      <c r="AHE41" s="72"/>
      <c r="AHF41" s="85"/>
      <c r="AHG41" s="76"/>
      <c r="AHH41" s="76"/>
      <c r="AHI41" s="76"/>
      <c r="AHJ41" s="76"/>
      <c r="AHK41" s="77"/>
      <c r="AHL41" s="86"/>
      <c r="AHM41" s="82"/>
      <c r="AHN41" s="82"/>
      <c r="AHO41" s="82"/>
      <c r="AHP41" s="82"/>
      <c r="AHQ41" s="84"/>
      <c r="AHR41" s="84"/>
      <c r="AHS41" s="84"/>
      <c r="AHT41" s="72"/>
      <c r="AHU41" s="85"/>
      <c r="AHV41" s="72"/>
      <c r="AHW41" s="72"/>
      <c r="AHX41" s="85"/>
      <c r="AHY41" s="71"/>
      <c r="AHZ41" s="71"/>
      <c r="AIA41" s="72"/>
      <c r="AIB41" s="85"/>
      <c r="AIC41" s="76"/>
      <c r="AID41" s="76"/>
      <c r="AIE41" s="76"/>
      <c r="AIF41" s="76"/>
      <c r="AIG41" s="77"/>
      <c r="AIH41" s="86"/>
      <c r="AII41" s="82"/>
      <c r="AIJ41" s="82"/>
      <c r="AIK41" s="82"/>
      <c r="AIL41" s="82"/>
      <c r="AIM41" s="84"/>
      <c r="AIN41" s="84"/>
      <c r="AIO41" s="84"/>
      <c r="AIP41" s="72"/>
      <c r="AIQ41" s="85"/>
      <c r="AIR41" s="72"/>
      <c r="AIS41" s="72"/>
      <c r="AIT41" s="85"/>
      <c r="AIU41" s="71"/>
      <c r="AIV41" s="71"/>
      <c r="AIW41" s="72"/>
      <c r="AIX41" s="85"/>
      <c r="AIY41" s="76"/>
      <c r="AIZ41" s="76"/>
      <c r="AJA41" s="76"/>
      <c r="AJB41" s="76"/>
      <c r="AJC41" s="77"/>
      <c r="AJD41" s="86"/>
      <c r="AJE41" s="82"/>
      <c r="AJF41" s="82"/>
      <c r="AJG41" s="82"/>
      <c r="AJH41" s="82"/>
      <c r="AJI41" s="84"/>
      <c r="AJJ41" s="84"/>
      <c r="AJK41" s="84"/>
      <c r="AJL41" s="72"/>
      <c r="AJM41" s="85"/>
      <c r="AJN41" s="72"/>
      <c r="AJO41" s="72"/>
      <c r="AJP41" s="85"/>
      <c r="AJQ41" s="71"/>
      <c r="AJR41" s="71"/>
      <c r="AJS41" s="72"/>
      <c r="AJT41" s="85"/>
      <c r="AJU41" s="76"/>
      <c r="AJV41" s="76"/>
      <c r="AJW41" s="76"/>
      <c r="AJX41" s="76"/>
      <c r="AJY41" s="77"/>
      <c r="AJZ41" s="86"/>
      <c r="AKA41" s="82"/>
      <c r="AKB41" s="82"/>
      <c r="AKC41" s="82"/>
      <c r="AKD41" s="82"/>
      <c r="AKE41" s="84"/>
      <c r="AKF41" s="84"/>
      <c r="AKG41" s="84"/>
      <c r="AKH41" s="72"/>
      <c r="AKI41" s="85"/>
      <c r="AKJ41" s="72"/>
      <c r="AKK41" s="72"/>
      <c r="AKL41" s="85"/>
      <c r="AKM41" s="71"/>
      <c r="AKN41" s="71"/>
      <c r="AKO41" s="72"/>
      <c r="AKP41" s="85"/>
      <c r="AKQ41" s="76"/>
      <c r="AKR41" s="76"/>
      <c r="AKS41" s="76"/>
      <c r="AKT41" s="76"/>
      <c r="AKU41" s="77"/>
      <c r="AKV41" s="86"/>
      <c r="AKW41" s="82"/>
      <c r="AKX41" s="82"/>
      <c r="AKY41" s="82"/>
      <c r="AKZ41" s="82"/>
      <c r="ALA41" s="84"/>
      <c r="ALB41" s="84"/>
      <c r="ALC41" s="84"/>
      <c r="ALD41" s="72"/>
      <c r="ALE41" s="85"/>
      <c r="ALF41" s="72"/>
      <c r="ALG41" s="72"/>
      <c r="ALH41" s="85"/>
      <c r="ALI41" s="71"/>
      <c r="ALJ41" s="71"/>
      <c r="ALK41" s="72"/>
      <c r="ALL41" s="85"/>
      <c r="ALM41" s="76"/>
      <c r="ALN41" s="76"/>
      <c r="ALO41" s="76"/>
      <c r="ALP41" s="76"/>
      <c r="ALQ41" s="77"/>
      <c r="ALR41" s="86"/>
      <c r="ALS41" s="82"/>
      <c r="ALT41" s="82"/>
      <c r="ALU41" s="82"/>
      <c r="ALV41" s="82"/>
      <c r="ALW41" s="84"/>
      <c r="ALX41" s="84"/>
      <c r="ALY41" s="84"/>
      <c r="ALZ41" s="72"/>
      <c r="AMA41" s="85"/>
      <c r="AMB41" s="72"/>
      <c r="AMC41" s="72"/>
      <c r="AMD41" s="85"/>
      <c r="AME41" s="71"/>
      <c r="AMF41" s="71"/>
      <c r="AMG41" s="72"/>
      <c r="AMH41" s="85"/>
      <c r="AMI41" s="76"/>
      <c r="AMJ41" s="76"/>
      <c r="AMK41" s="76"/>
      <c r="AML41" s="76"/>
      <c r="AMM41" s="77"/>
      <c r="AMN41" s="86"/>
      <c r="AMO41" s="82"/>
      <c r="AMP41" s="82"/>
      <c r="AMQ41" s="82"/>
      <c r="AMR41" s="82"/>
      <c r="AMS41" s="84"/>
      <c r="AMT41" s="84"/>
      <c r="AMU41" s="84"/>
      <c r="AMV41" s="72"/>
      <c r="AMW41" s="85"/>
      <c r="AMX41" s="72"/>
      <c r="AMY41" s="72"/>
      <c r="AMZ41" s="85"/>
      <c r="ANA41" s="71"/>
      <c r="ANB41" s="71"/>
      <c r="ANC41" s="72"/>
      <c r="AND41" s="85"/>
      <c r="ANE41" s="76"/>
      <c r="ANF41" s="76"/>
      <c r="ANG41" s="76"/>
      <c r="ANH41" s="76"/>
      <c r="ANI41" s="77"/>
      <c r="ANJ41" s="86"/>
      <c r="ANK41" s="82"/>
      <c r="ANL41" s="82"/>
      <c r="ANM41" s="82"/>
      <c r="ANN41" s="82"/>
      <c r="ANO41" s="84"/>
      <c r="ANP41" s="84"/>
      <c r="ANQ41" s="84"/>
      <c r="ANR41" s="72"/>
      <c r="ANS41" s="85"/>
      <c r="ANT41" s="72"/>
      <c r="ANU41" s="72"/>
      <c r="ANV41" s="85"/>
      <c r="ANW41" s="71"/>
      <c r="ANX41" s="71"/>
      <c r="ANY41" s="72"/>
      <c r="ANZ41" s="85"/>
      <c r="AOA41" s="76"/>
      <c r="AOB41" s="76"/>
      <c r="AOC41" s="76"/>
      <c r="AOD41" s="76"/>
      <c r="AOE41" s="77"/>
      <c r="AOF41" s="86"/>
      <c r="AOG41" s="82"/>
      <c r="AOH41" s="82"/>
      <c r="AOI41" s="82"/>
      <c r="AOJ41" s="82"/>
      <c r="AOK41" s="84"/>
      <c r="AOL41" s="84"/>
      <c r="AOM41" s="84"/>
      <c r="AON41" s="72"/>
      <c r="AOO41" s="85"/>
      <c r="AOP41" s="72"/>
      <c r="AOQ41" s="72"/>
      <c r="AOR41" s="85"/>
      <c r="AOS41" s="71"/>
      <c r="AOT41" s="71"/>
      <c r="AOU41" s="72"/>
      <c r="AOV41" s="85"/>
      <c r="AOW41" s="76"/>
      <c r="AOX41" s="76"/>
      <c r="AOY41" s="76"/>
      <c r="AOZ41" s="76"/>
      <c r="APA41" s="77"/>
      <c r="APB41" s="86"/>
      <c r="APC41" s="82"/>
      <c r="APD41" s="82"/>
      <c r="APE41" s="82"/>
      <c r="APF41" s="82"/>
      <c r="APG41" s="84"/>
      <c r="APH41" s="84"/>
      <c r="API41" s="84"/>
      <c r="APJ41" s="72"/>
      <c r="APK41" s="85"/>
      <c r="APL41" s="72"/>
      <c r="APM41" s="72"/>
      <c r="APN41" s="85"/>
      <c r="APO41" s="71"/>
      <c r="APP41" s="71"/>
      <c r="APQ41" s="72"/>
      <c r="APR41" s="85"/>
      <c r="APS41" s="76"/>
      <c r="APT41" s="76"/>
      <c r="APU41" s="76"/>
      <c r="APV41" s="76"/>
      <c r="APW41" s="77"/>
      <c r="APX41" s="86"/>
      <c r="APY41" s="82"/>
      <c r="APZ41" s="82"/>
      <c r="AQA41" s="82"/>
      <c r="AQB41" s="82"/>
      <c r="AQC41" s="84"/>
      <c r="AQD41" s="84"/>
      <c r="AQE41" s="84"/>
      <c r="AQF41" s="72"/>
      <c r="AQG41" s="85"/>
      <c r="AQH41" s="72"/>
      <c r="AQI41" s="72"/>
      <c r="AQJ41" s="85"/>
      <c r="AQK41" s="71"/>
      <c r="AQL41" s="71"/>
      <c r="AQM41" s="72"/>
      <c r="AQN41" s="85"/>
      <c r="AQO41" s="76"/>
      <c r="AQP41" s="76"/>
      <c r="AQQ41" s="76"/>
      <c r="AQR41" s="76"/>
      <c r="AQS41" s="77"/>
      <c r="AQT41" s="86"/>
      <c r="AQU41" s="82"/>
      <c r="AQV41" s="82"/>
      <c r="AQW41" s="82"/>
      <c r="AQX41" s="82"/>
      <c r="AQY41" s="84"/>
      <c r="AQZ41" s="84"/>
      <c r="ARA41" s="84"/>
      <c r="ARB41" s="72"/>
      <c r="ARC41" s="85"/>
      <c r="ARD41" s="72"/>
      <c r="ARE41" s="72"/>
      <c r="ARF41" s="85"/>
      <c r="ARG41" s="71"/>
      <c r="ARH41" s="71"/>
      <c r="ARI41" s="72"/>
      <c r="ARJ41" s="85"/>
      <c r="ARK41" s="76"/>
      <c r="ARL41" s="76"/>
      <c r="ARM41" s="76"/>
      <c r="ARN41" s="76"/>
      <c r="ARO41" s="77"/>
      <c r="ARP41" s="86"/>
      <c r="ARQ41" s="82"/>
      <c r="ARR41" s="82"/>
      <c r="ARS41" s="82"/>
      <c r="ART41" s="82"/>
      <c r="ARU41" s="84"/>
      <c r="ARV41" s="84"/>
      <c r="ARW41" s="84"/>
      <c r="ARX41" s="72"/>
      <c r="ARY41" s="85"/>
      <c r="ARZ41" s="72"/>
      <c r="ASA41" s="72"/>
      <c r="ASB41" s="85"/>
      <c r="ASC41" s="71"/>
      <c r="ASD41" s="71"/>
      <c r="ASE41" s="72"/>
      <c r="ASF41" s="85"/>
      <c r="ASG41" s="76"/>
      <c r="ASH41" s="76"/>
      <c r="ASI41" s="76"/>
      <c r="ASJ41" s="76"/>
      <c r="ASK41" s="77"/>
      <c r="ASL41" s="86"/>
      <c r="ASM41" s="82"/>
      <c r="ASN41" s="82"/>
      <c r="ASO41" s="82"/>
      <c r="ASP41" s="82"/>
      <c r="ASQ41" s="84"/>
      <c r="ASR41" s="84"/>
      <c r="ASS41" s="84"/>
      <c r="AST41" s="72"/>
      <c r="ASU41" s="85"/>
      <c r="ASV41" s="72"/>
      <c r="ASW41" s="72"/>
      <c r="ASX41" s="85"/>
      <c r="ASY41" s="71"/>
      <c r="ASZ41" s="71"/>
      <c r="ATA41" s="72"/>
      <c r="ATB41" s="85"/>
      <c r="ATC41" s="76"/>
      <c r="ATD41" s="76"/>
      <c r="ATE41" s="76"/>
      <c r="ATF41" s="76"/>
      <c r="ATG41" s="77"/>
      <c r="ATH41" s="86"/>
      <c r="ATI41" s="82"/>
      <c r="ATJ41" s="82"/>
      <c r="ATK41" s="82"/>
      <c r="ATL41" s="82"/>
      <c r="ATM41" s="84"/>
      <c r="ATN41" s="84"/>
      <c r="ATO41" s="84"/>
      <c r="ATP41" s="72"/>
      <c r="ATQ41" s="85"/>
      <c r="ATR41" s="72"/>
      <c r="ATS41" s="72"/>
      <c r="ATT41" s="85"/>
      <c r="ATU41" s="71"/>
      <c r="ATV41" s="71"/>
      <c r="ATW41" s="72"/>
      <c r="ATX41" s="85"/>
      <c r="ATY41" s="76"/>
      <c r="ATZ41" s="76"/>
      <c r="AUA41" s="76"/>
      <c r="AUB41" s="76"/>
      <c r="AUC41" s="77"/>
      <c r="AUD41" s="86"/>
      <c r="AUE41" s="82"/>
      <c r="AUF41" s="82"/>
      <c r="AUG41" s="82"/>
      <c r="AUH41" s="82"/>
      <c r="AUI41" s="84"/>
      <c r="AUJ41" s="84"/>
      <c r="AUK41" s="84"/>
      <c r="AUL41" s="72"/>
      <c r="AUM41" s="85"/>
      <c r="AUN41" s="72"/>
      <c r="AUO41" s="72"/>
      <c r="AUP41" s="85"/>
      <c r="AUQ41" s="71"/>
      <c r="AUR41" s="71"/>
      <c r="AUS41" s="72"/>
      <c r="AUT41" s="85"/>
      <c r="AUU41" s="76"/>
      <c r="AUV41" s="76"/>
      <c r="AUW41" s="76"/>
      <c r="AUX41" s="76"/>
      <c r="AUY41" s="77"/>
      <c r="AUZ41" s="86"/>
      <c r="AVA41" s="82"/>
      <c r="AVB41" s="82"/>
      <c r="AVC41" s="82"/>
      <c r="AVD41" s="82"/>
      <c r="AVE41" s="84"/>
      <c r="AVF41" s="84"/>
      <c r="AVG41" s="84"/>
      <c r="AVH41" s="72"/>
      <c r="AVI41" s="85"/>
      <c r="AVJ41" s="72"/>
      <c r="AVK41" s="72"/>
      <c r="AVL41" s="85"/>
      <c r="AVM41" s="71"/>
      <c r="AVN41" s="71"/>
      <c r="AVO41" s="72"/>
      <c r="AVP41" s="85"/>
      <c r="AVQ41" s="76"/>
      <c r="AVR41" s="76"/>
      <c r="AVS41" s="76"/>
      <c r="AVT41" s="76"/>
      <c r="AVU41" s="77"/>
      <c r="AVV41" s="86"/>
      <c r="AVW41" s="82"/>
      <c r="AVX41" s="82"/>
      <c r="AVY41" s="82"/>
      <c r="AVZ41" s="82"/>
      <c r="AWA41" s="84"/>
      <c r="AWB41" s="84"/>
      <c r="AWC41" s="84"/>
      <c r="AWD41" s="72"/>
      <c r="AWE41" s="85"/>
      <c r="AWF41" s="72"/>
      <c r="AWG41" s="72"/>
      <c r="AWH41" s="85"/>
      <c r="AWI41" s="71"/>
      <c r="AWJ41" s="71"/>
      <c r="AWK41" s="72"/>
      <c r="AWL41" s="85"/>
      <c r="AWM41" s="76"/>
      <c r="AWN41" s="76"/>
      <c r="AWO41" s="76"/>
      <c r="AWP41" s="76"/>
      <c r="AWQ41" s="77"/>
      <c r="AWR41" s="86"/>
      <c r="AWS41" s="82"/>
      <c r="AWT41" s="82"/>
      <c r="AWU41" s="82"/>
      <c r="AWV41" s="82"/>
      <c r="AWW41" s="84"/>
      <c r="AWX41" s="84"/>
      <c r="AWY41" s="84"/>
      <c r="AWZ41" s="72"/>
      <c r="AXA41" s="85"/>
      <c r="AXB41" s="72"/>
      <c r="AXC41" s="72"/>
      <c r="AXD41" s="85"/>
      <c r="AXE41" s="71"/>
      <c r="AXF41" s="71"/>
      <c r="AXG41" s="72"/>
      <c r="AXH41" s="85"/>
      <c r="AXI41" s="76"/>
      <c r="AXJ41" s="76"/>
      <c r="AXK41" s="76"/>
      <c r="AXL41" s="76"/>
      <c r="AXM41" s="77"/>
      <c r="AXN41" s="86"/>
      <c r="AXO41" s="82"/>
      <c r="AXP41" s="82"/>
      <c r="AXQ41" s="82"/>
      <c r="AXR41" s="82"/>
      <c r="AXS41" s="84"/>
      <c r="AXT41" s="84"/>
      <c r="AXU41" s="84"/>
      <c r="AXV41" s="72"/>
      <c r="AXW41" s="85"/>
      <c r="AXX41" s="72"/>
      <c r="AXY41" s="72"/>
      <c r="AXZ41" s="85"/>
      <c r="AYA41" s="71"/>
      <c r="AYB41" s="71"/>
      <c r="AYC41" s="72"/>
      <c r="AYD41" s="85"/>
      <c r="AYE41" s="76"/>
      <c r="AYF41" s="76"/>
      <c r="AYG41" s="76"/>
      <c r="AYH41" s="76"/>
      <c r="AYI41" s="77"/>
      <c r="AYJ41" s="86"/>
      <c r="AYK41" s="82"/>
      <c r="AYL41" s="82"/>
      <c r="AYM41" s="82"/>
      <c r="AYN41" s="82"/>
      <c r="AYO41" s="84"/>
      <c r="AYP41" s="84"/>
      <c r="AYQ41" s="84"/>
      <c r="AYR41" s="72"/>
      <c r="AYS41" s="85"/>
      <c r="AYT41" s="72"/>
      <c r="AYU41" s="72"/>
      <c r="AYV41" s="85"/>
      <c r="AYW41" s="71"/>
      <c r="AYX41" s="71"/>
      <c r="AYY41" s="72"/>
      <c r="AYZ41" s="85"/>
      <c r="AZA41" s="76"/>
      <c r="AZB41" s="76"/>
      <c r="AZC41" s="76"/>
      <c r="AZD41" s="76"/>
      <c r="AZE41" s="77"/>
      <c r="AZF41" s="86"/>
      <c r="AZG41" s="82"/>
      <c r="AZH41" s="82"/>
      <c r="AZI41" s="82"/>
      <c r="AZJ41" s="82"/>
      <c r="AZK41" s="84"/>
      <c r="AZL41" s="84"/>
      <c r="AZM41" s="84"/>
      <c r="AZN41" s="72"/>
      <c r="AZO41" s="85"/>
      <c r="AZP41" s="72"/>
      <c r="AZQ41" s="72"/>
      <c r="AZR41" s="85"/>
      <c r="AZS41" s="71"/>
      <c r="AZT41" s="71"/>
      <c r="AZU41" s="72"/>
      <c r="AZV41" s="85"/>
      <c r="AZW41" s="76"/>
      <c r="AZX41" s="76"/>
      <c r="AZY41" s="76"/>
      <c r="AZZ41" s="76"/>
      <c r="BAA41" s="77"/>
      <c r="BAB41" s="86"/>
      <c r="BAC41" s="82"/>
      <c r="BAD41" s="82"/>
      <c r="BAE41" s="82"/>
      <c r="BAF41" s="82"/>
      <c r="BAG41" s="84"/>
      <c r="BAH41" s="84"/>
      <c r="BAI41" s="84"/>
      <c r="BAJ41" s="72"/>
      <c r="BAK41" s="85"/>
      <c r="BAL41" s="72"/>
      <c r="BAM41" s="72"/>
      <c r="BAN41" s="85"/>
      <c r="BAO41" s="71"/>
      <c r="BAP41" s="71"/>
      <c r="BAQ41" s="72"/>
      <c r="BAR41" s="85"/>
      <c r="BAS41" s="76"/>
      <c r="BAT41" s="76"/>
      <c r="BAU41" s="76"/>
      <c r="BAV41" s="76"/>
      <c r="BAW41" s="77"/>
      <c r="BAX41" s="86"/>
      <c r="BAY41" s="82"/>
      <c r="BAZ41" s="82"/>
      <c r="BBA41" s="82"/>
      <c r="BBB41" s="82"/>
      <c r="BBC41" s="84"/>
      <c r="BBD41" s="84"/>
      <c r="BBE41" s="84"/>
      <c r="BBF41" s="72"/>
      <c r="BBG41" s="85"/>
      <c r="BBH41" s="72"/>
      <c r="BBI41" s="72"/>
      <c r="BBJ41" s="85"/>
      <c r="BBK41" s="71"/>
      <c r="BBL41" s="71"/>
      <c r="BBM41" s="72"/>
      <c r="BBN41" s="85"/>
      <c r="BBO41" s="76"/>
      <c r="BBP41" s="76"/>
      <c r="BBQ41" s="76"/>
      <c r="BBR41" s="76"/>
      <c r="BBS41" s="77"/>
      <c r="BBT41" s="86"/>
      <c r="BBU41" s="82"/>
      <c r="BBV41" s="82"/>
      <c r="BBW41" s="82"/>
      <c r="BBX41" s="82"/>
      <c r="BBY41" s="84"/>
      <c r="BBZ41" s="84"/>
      <c r="BCA41" s="84"/>
      <c r="BCB41" s="72"/>
      <c r="BCC41" s="85"/>
      <c r="BCD41" s="72"/>
      <c r="BCE41" s="72"/>
      <c r="BCF41" s="85"/>
      <c r="BCG41" s="71"/>
      <c r="BCH41" s="71"/>
      <c r="BCI41" s="72"/>
      <c r="BCJ41" s="85"/>
      <c r="BCK41" s="76"/>
      <c r="BCL41" s="76"/>
      <c r="BCM41" s="76"/>
      <c r="BCN41" s="76"/>
      <c r="BCO41" s="77"/>
      <c r="BCP41" s="86"/>
      <c r="BCQ41" s="82"/>
      <c r="BCR41" s="82"/>
      <c r="BCS41" s="82"/>
      <c r="BCT41" s="82"/>
      <c r="BCU41" s="84"/>
      <c r="BCV41" s="84"/>
      <c r="BCW41" s="84"/>
      <c r="BCX41" s="72"/>
      <c r="BCY41" s="85"/>
      <c r="BCZ41" s="72"/>
      <c r="BDA41" s="72"/>
      <c r="BDB41" s="85"/>
      <c r="BDC41" s="71"/>
      <c r="BDD41" s="71"/>
      <c r="BDE41" s="72"/>
      <c r="BDF41" s="85"/>
      <c r="BDG41" s="76"/>
      <c r="BDH41" s="76"/>
      <c r="BDI41" s="76"/>
      <c r="BDJ41" s="76"/>
      <c r="BDK41" s="77"/>
      <c r="BDL41" s="86"/>
      <c r="BDM41" s="82"/>
      <c r="BDN41" s="82"/>
      <c r="BDO41" s="82"/>
      <c r="BDP41" s="82"/>
      <c r="BDQ41" s="84"/>
      <c r="BDR41" s="84"/>
      <c r="BDS41" s="84"/>
      <c r="BDT41" s="72"/>
      <c r="BDU41" s="85"/>
      <c r="BDV41" s="72"/>
      <c r="BDW41" s="72"/>
      <c r="BDX41" s="85"/>
      <c r="BDY41" s="71"/>
      <c r="BDZ41" s="71"/>
      <c r="BEA41" s="72"/>
      <c r="BEB41" s="85"/>
      <c r="BEC41" s="76"/>
      <c r="BED41" s="76"/>
      <c r="BEE41" s="76"/>
      <c r="BEF41" s="76"/>
      <c r="BEG41" s="77"/>
      <c r="BEH41" s="86"/>
      <c r="BEI41" s="82"/>
      <c r="BEJ41" s="82"/>
      <c r="BEK41" s="82"/>
      <c r="BEL41" s="82"/>
      <c r="BEM41" s="84"/>
      <c r="BEN41" s="84"/>
      <c r="BEO41" s="84"/>
      <c r="BEP41" s="72"/>
      <c r="BEQ41" s="85"/>
      <c r="BER41" s="72"/>
      <c r="BES41" s="72"/>
      <c r="BET41" s="85"/>
      <c r="BEU41" s="71"/>
      <c r="BEV41" s="71"/>
      <c r="BEW41" s="72"/>
      <c r="BEX41" s="85"/>
      <c r="BEY41" s="76"/>
      <c r="BEZ41" s="76"/>
      <c r="BFA41" s="76"/>
      <c r="BFB41" s="76"/>
      <c r="BFC41" s="77"/>
      <c r="BFD41" s="86"/>
      <c r="BFE41" s="82"/>
      <c r="BFF41" s="82"/>
      <c r="BFG41" s="82"/>
      <c r="BFH41" s="82"/>
      <c r="BFI41" s="84"/>
      <c r="BFJ41" s="84"/>
      <c r="BFK41" s="84"/>
      <c r="BFL41" s="72"/>
      <c r="BFM41" s="85"/>
      <c r="BFN41" s="72"/>
      <c r="BFO41" s="72"/>
      <c r="BFP41" s="85"/>
      <c r="BFQ41" s="71"/>
      <c r="BFR41" s="71"/>
      <c r="BFS41" s="72"/>
      <c r="BFT41" s="85"/>
      <c r="BFU41" s="76"/>
      <c r="BFV41" s="76"/>
      <c r="BFW41" s="76"/>
      <c r="BFX41" s="76"/>
      <c r="BFY41" s="77"/>
      <c r="BFZ41" s="86"/>
      <c r="BGA41" s="82"/>
      <c r="BGB41" s="82"/>
      <c r="BGC41" s="82"/>
      <c r="BGD41" s="82"/>
      <c r="BGE41" s="84"/>
      <c r="BGF41" s="84"/>
      <c r="BGG41" s="84"/>
      <c r="BGH41" s="72"/>
      <c r="BGI41" s="85"/>
      <c r="BGJ41" s="72"/>
      <c r="BGK41" s="72"/>
      <c r="BGL41" s="85"/>
      <c r="BGM41" s="71"/>
      <c r="BGN41" s="71"/>
      <c r="BGO41" s="72"/>
      <c r="BGP41" s="85"/>
      <c r="BGQ41" s="76"/>
      <c r="BGR41" s="76"/>
      <c r="BGS41" s="76"/>
      <c r="BGT41" s="76"/>
      <c r="BGU41" s="77"/>
      <c r="BGV41" s="86"/>
      <c r="BGW41" s="82"/>
      <c r="BGX41" s="82"/>
      <c r="BGY41" s="82"/>
      <c r="BGZ41" s="82"/>
      <c r="BHA41" s="84"/>
      <c r="BHB41" s="84"/>
      <c r="BHC41" s="84"/>
      <c r="BHD41" s="72"/>
      <c r="BHE41" s="85"/>
      <c r="BHF41" s="72"/>
      <c r="BHG41" s="72"/>
      <c r="BHH41" s="85"/>
      <c r="BHI41" s="71"/>
      <c r="BHJ41" s="71"/>
      <c r="BHK41" s="72"/>
      <c r="BHL41" s="85"/>
      <c r="BHM41" s="76"/>
      <c r="BHN41" s="76"/>
      <c r="BHO41" s="76"/>
      <c r="BHP41" s="76"/>
      <c r="BHQ41" s="77"/>
      <c r="BHR41" s="86"/>
      <c r="BHS41" s="82"/>
      <c r="BHT41" s="82"/>
      <c r="BHU41" s="82"/>
      <c r="BHV41" s="82"/>
      <c r="BHW41" s="84"/>
      <c r="BHX41" s="84"/>
      <c r="BHY41" s="84"/>
      <c r="BHZ41" s="72"/>
      <c r="BIA41" s="85"/>
      <c r="BIB41" s="72"/>
      <c r="BIC41" s="72"/>
      <c r="BID41" s="85"/>
      <c r="BIE41" s="71"/>
      <c r="BIF41" s="71"/>
      <c r="BIG41" s="72"/>
      <c r="BIH41" s="85"/>
      <c r="BII41" s="76"/>
      <c r="BIJ41" s="76"/>
      <c r="BIK41" s="76"/>
      <c r="BIL41" s="76"/>
      <c r="BIM41" s="77"/>
      <c r="BIN41" s="86"/>
      <c r="BIO41" s="82"/>
      <c r="BIP41" s="82"/>
      <c r="BIQ41" s="82"/>
      <c r="BIR41" s="82"/>
      <c r="BIS41" s="84"/>
      <c r="BIT41" s="84"/>
      <c r="BIU41" s="84"/>
      <c r="BIV41" s="72"/>
      <c r="BIW41" s="85"/>
      <c r="BIX41" s="72"/>
      <c r="BIY41" s="72"/>
      <c r="BIZ41" s="85"/>
      <c r="BJA41" s="71"/>
      <c r="BJB41" s="71"/>
      <c r="BJC41" s="72"/>
      <c r="BJD41" s="85"/>
      <c r="BJE41" s="76"/>
      <c r="BJF41" s="76"/>
      <c r="BJG41" s="76"/>
      <c r="BJH41" s="76"/>
      <c r="BJI41" s="77"/>
      <c r="BJJ41" s="86"/>
      <c r="BJK41" s="82"/>
      <c r="BJL41" s="82"/>
      <c r="BJM41" s="82"/>
      <c r="BJN41" s="82"/>
      <c r="BJO41" s="84"/>
      <c r="BJP41" s="84"/>
      <c r="BJQ41" s="84"/>
      <c r="BJR41" s="72"/>
      <c r="BJS41" s="85"/>
      <c r="BJT41" s="72"/>
      <c r="BJU41" s="72"/>
      <c r="BJV41" s="85"/>
      <c r="BJW41" s="71"/>
      <c r="BJX41" s="71"/>
      <c r="BJY41" s="72"/>
      <c r="BJZ41" s="85"/>
      <c r="BKA41" s="76"/>
      <c r="BKB41" s="76"/>
      <c r="BKC41" s="76"/>
      <c r="BKD41" s="76"/>
      <c r="BKE41" s="77"/>
      <c r="BKF41" s="86"/>
      <c r="BKG41" s="82"/>
      <c r="BKH41" s="82"/>
      <c r="BKI41" s="82"/>
      <c r="BKJ41" s="82"/>
      <c r="BKK41" s="84"/>
      <c r="BKL41" s="84"/>
      <c r="BKM41" s="84"/>
      <c r="BKN41" s="72"/>
      <c r="BKO41" s="85"/>
      <c r="BKP41" s="72"/>
      <c r="BKQ41" s="72"/>
      <c r="BKR41" s="85"/>
      <c r="BKS41" s="71"/>
      <c r="BKT41" s="71"/>
      <c r="BKU41" s="72"/>
      <c r="BKV41" s="85"/>
      <c r="BKW41" s="76"/>
      <c r="BKX41" s="76"/>
      <c r="BKY41" s="76"/>
      <c r="BKZ41" s="76"/>
      <c r="BLA41" s="77"/>
      <c r="BLB41" s="86"/>
      <c r="BLC41" s="82"/>
      <c r="BLD41" s="82"/>
      <c r="BLE41" s="82"/>
      <c r="BLF41" s="82"/>
      <c r="BLG41" s="84"/>
      <c r="BLH41" s="84"/>
      <c r="BLI41" s="84"/>
      <c r="BLJ41" s="72"/>
      <c r="BLK41" s="85"/>
      <c r="BLL41" s="72"/>
      <c r="BLM41" s="72"/>
      <c r="BLN41" s="85"/>
      <c r="BLO41" s="71"/>
      <c r="BLP41" s="71"/>
      <c r="BLQ41" s="72"/>
      <c r="BLR41" s="85"/>
      <c r="BLS41" s="76"/>
      <c r="BLT41" s="76"/>
      <c r="BLU41" s="76"/>
      <c r="BLV41" s="76"/>
      <c r="BLW41" s="77"/>
      <c r="BLX41" s="86"/>
      <c r="BLY41" s="82"/>
      <c r="BLZ41" s="82"/>
      <c r="BMA41" s="82"/>
      <c r="BMB41" s="82"/>
      <c r="BMC41" s="84"/>
      <c r="BMD41" s="84"/>
      <c r="BME41" s="84"/>
      <c r="BMF41" s="72"/>
      <c r="BMG41" s="85"/>
      <c r="BMH41" s="72"/>
      <c r="BMI41" s="72"/>
      <c r="BMJ41" s="85"/>
      <c r="BMK41" s="71"/>
      <c r="BML41" s="71"/>
      <c r="BMM41" s="72"/>
      <c r="BMN41" s="85"/>
      <c r="BMO41" s="76"/>
      <c r="BMP41" s="76"/>
      <c r="BMQ41" s="76"/>
      <c r="BMR41" s="76"/>
      <c r="BMS41" s="77"/>
      <c r="BMT41" s="86"/>
      <c r="BMU41" s="82"/>
      <c r="BMV41" s="82"/>
      <c r="BMW41" s="82"/>
      <c r="BMX41" s="82"/>
      <c r="BMY41" s="84"/>
      <c r="BMZ41" s="84"/>
      <c r="BNA41" s="84"/>
      <c r="BNB41" s="72"/>
      <c r="BNC41" s="85"/>
      <c r="BND41" s="72"/>
      <c r="BNE41" s="72"/>
      <c r="BNF41" s="85"/>
      <c r="BNG41" s="71"/>
      <c r="BNH41" s="71"/>
      <c r="BNI41" s="72"/>
      <c r="BNJ41" s="85"/>
      <c r="BNK41" s="76"/>
      <c r="BNL41" s="76"/>
      <c r="BNM41" s="76"/>
      <c r="BNN41" s="76"/>
      <c r="BNO41" s="77"/>
      <c r="BNP41" s="86"/>
      <c r="BNQ41" s="82"/>
      <c r="BNR41" s="82"/>
      <c r="BNS41" s="82"/>
      <c r="BNT41" s="82"/>
      <c r="BNU41" s="84"/>
      <c r="BNV41" s="84"/>
      <c r="BNW41" s="84"/>
      <c r="BNX41" s="72"/>
      <c r="BNY41" s="85"/>
      <c r="BNZ41" s="72"/>
      <c r="BOA41" s="72"/>
      <c r="BOB41" s="85"/>
      <c r="BOC41" s="71"/>
      <c r="BOD41" s="71"/>
      <c r="BOE41" s="72"/>
      <c r="BOF41" s="85"/>
      <c r="BOG41" s="76"/>
      <c r="BOH41" s="76"/>
      <c r="BOI41" s="76"/>
      <c r="BOJ41" s="76"/>
      <c r="BOK41" s="77"/>
      <c r="BOL41" s="86"/>
      <c r="BOM41" s="82"/>
      <c r="BON41" s="82"/>
      <c r="BOO41" s="82"/>
      <c r="BOP41" s="82"/>
      <c r="BOQ41" s="84"/>
      <c r="BOR41" s="84"/>
      <c r="BOS41" s="84"/>
      <c r="BOT41" s="72"/>
      <c r="BOU41" s="85"/>
      <c r="BOV41" s="72"/>
      <c r="BOW41" s="72"/>
      <c r="BOX41" s="85"/>
      <c r="BOY41" s="71"/>
      <c r="BOZ41" s="71"/>
      <c r="BPA41" s="72"/>
      <c r="BPB41" s="85"/>
      <c r="BPC41" s="76"/>
      <c r="BPD41" s="76"/>
      <c r="BPE41" s="76"/>
      <c r="BPF41" s="76"/>
      <c r="BPG41" s="77"/>
      <c r="BPH41" s="86"/>
      <c r="BPI41" s="82"/>
      <c r="BPJ41" s="82"/>
      <c r="BPK41" s="82"/>
      <c r="BPL41" s="82"/>
      <c r="BPM41" s="84"/>
      <c r="BPN41" s="84"/>
      <c r="BPO41" s="84"/>
      <c r="BPP41" s="72"/>
      <c r="BPQ41" s="85"/>
      <c r="BPR41" s="72"/>
      <c r="BPS41" s="72"/>
      <c r="BPT41" s="85"/>
      <c r="BPU41" s="71"/>
      <c r="BPV41" s="71"/>
      <c r="BPW41" s="72"/>
      <c r="BPX41" s="85"/>
      <c r="BPY41" s="76"/>
      <c r="BPZ41" s="76"/>
      <c r="BQA41" s="76"/>
      <c r="BQB41" s="76"/>
      <c r="BQC41" s="77"/>
      <c r="BQD41" s="86"/>
      <c r="BQE41" s="82"/>
      <c r="BQF41" s="82"/>
      <c r="BQG41" s="82"/>
      <c r="BQH41" s="82"/>
      <c r="BQI41" s="84"/>
      <c r="BQJ41" s="84"/>
      <c r="BQK41" s="84"/>
      <c r="BQL41" s="72"/>
      <c r="BQM41" s="85"/>
      <c r="BQN41" s="72"/>
      <c r="BQO41" s="72"/>
      <c r="BQP41" s="85"/>
      <c r="BQQ41" s="71"/>
      <c r="BQR41" s="71"/>
      <c r="BQS41" s="72"/>
      <c r="BQT41" s="85"/>
      <c r="BQU41" s="76"/>
      <c r="BQV41" s="76"/>
      <c r="BQW41" s="76"/>
      <c r="BQX41" s="76"/>
      <c r="BQY41" s="77"/>
      <c r="BQZ41" s="86"/>
      <c r="BRA41" s="82"/>
      <c r="BRB41" s="82"/>
      <c r="BRC41" s="82"/>
      <c r="BRD41" s="82"/>
      <c r="BRE41" s="84"/>
      <c r="BRF41" s="84"/>
      <c r="BRG41" s="84"/>
      <c r="BRH41" s="72"/>
      <c r="BRI41" s="85"/>
      <c r="BRJ41" s="72"/>
      <c r="BRK41" s="72"/>
      <c r="BRL41" s="85"/>
      <c r="BRM41" s="71"/>
      <c r="BRN41" s="71"/>
      <c r="BRO41" s="72"/>
      <c r="BRP41" s="85"/>
      <c r="BRQ41" s="76"/>
      <c r="BRR41" s="76"/>
      <c r="BRS41" s="76"/>
      <c r="BRT41" s="76"/>
      <c r="BRU41" s="77"/>
      <c r="BRV41" s="86"/>
      <c r="BRW41" s="82"/>
      <c r="BRX41" s="82"/>
      <c r="BRY41" s="82"/>
      <c r="BRZ41" s="82"/>
      <c r="BSA41" s="84"/>
      <c r="BSB41" s="84"/>
      <c r="BSC41" s="84"/>
      <c r="BSD41" s="72"/>
      <c r="BSE41" s="85"/>
      <c r="BSF41" s="72"/>
      <c r="BSG41" s="72"/>
      <c r="BSH41" s="85"/>
      <c r="BSI41" s="71"/>
      <c r="BSJ41" s="71"/>
      <c r="BSK41" s="72"/>
      <c r="BSL41" s="85"/>
      <c r="BSM41" s="76"/>
      <c r="BSN41" s="76"/>
      <c r="BSO41" s="76"/>
      <c r="BSP41" s="76"/>
      <c r="BSQ41" s="77"/>
      <c r="BSR41" s="86"/>
      <c r="BSS41" s="82"/>
      <c r="BST41" s="82"/>
      <c r="BSU41" s="82"/>
      <c r="BSV41" s="82"/>
      <c r="BSW41" s="84"/>
      <c r="BSX41" s="84"/>
      <c r="BSY41" s="84"/>
      <c r="BSZ41" s="72"/>
      <c r="BTA41" s="85"/>
      <c r="BTB41" s="72"/>
      <c r="BTC41" s="72"/>
      <c r="BTD41" s="85"/>
      <c r="BTE41" s="71"/>
      <c r="BTF41" s="71"/>
      <c r="BTG41" s="72"/>
      <c r="BTH41" s="85"/>
      <c r="BTI41" s="76"/>
      <c r="BTJ41" s="76"/>
      <c r="BTK41" s="76"/>
      <c r="BTL41" s="76"/>
      <c r="BTM41" s="77"/>
      <c r="BTN41" s="86"/>
      <c r="BTO41" s="82"/>
      <c r="BTP41" s="82"/>
      <c r="BTQ41" s="82"/>
      <c r="BTR41" s="82"/>
      <c r="BTS41" s="84"/>
      <c r="BTT41" s="84"/>
      <c r="BTU41" s="84"/>
      <c r="BTV41" s="72"/>
      <c r="BTW41" s="85"/>
      <c r="BTX41" s="72"/>
      <c r="BTY41" s="72"/>
      <c r="BTZ41" s="85"/>
      <c r="BUA41" s="71"/>
      <c r="BUB41" s="71"/>
      <c r="BUC41" s="72"/>
      <c r="BUD41" s="85"/>
      <c r="BUE41" s="76"/>
      <c r="BUF41" s="76"/>
      <c r="BUG41" s="76"/>
      <c r="BUH41" s="76"/>
      <c r="BUI41" s="77"/>
      <c r="BUJ41" s="86"/>
      <c r="BUK41" s="82"/>
      <c r="BUL41" s="82"/>
      <c r="BUM41" s="82"/>
      <c r="BUN41" s="82"/>
      <c r="BUO41" s="84"/>
      <c r="BUP41" s="84"/>
      <c r="BUQ41" s="84"/>
      <c r="BUR41" s="72"/>
      <c r="BUS41" s="85"/>
      <c r="BUT41" s="72"/>
      <c r="BUU41" s="72"/>
      <c r="BUV41" s="85"/>
      <c r="BUW41" s="71"/>
      <c r="BUX41" s="71"/>
      <c r="BUY41" s="72"/>
      <c r="BUZ41" s="85"/>
      <c r="BVA41" s="76"/>
      <c r="BVB41" s="76"/>
      <c r="BVC41" s="76"/>
      <c r="BVD41" s="76"/>
      <c r="BVE41" s="77"/>
      <c r="BVF41" s="86"/>
      <c r="BVG41" s="82"/>
      <c r="BVH41" s="82"/>
      <c r="BVI41" s="82"/>
      <c r="BVJ41" s="82"/>
      <c r="BVK41" s="84"/>
      <c r="BVL41" s="84"/>
      <c r="BVM41" s="84"/>
      <c r="BVN41" s="72"/>
      <c r="BVO41" s="85"/>
      <c r="BVP41" s="72"/>
      <c r="BVQ41" s="72"/>
      <c r="BVR41" s="85"/>
      <c r="BVS41" s="71"/>
      <c r="BVT41" s="71"/>
      <c r="BVU41" s="72"/>
      <c r="BVV41" s="85"/>
      <c r="BVW41" s="76"/>
      <c r="BVX41" s="76"/>
      <c r="BVY41" s="76"/>
      <c r="BVZ41" s="76"/>
      <c r="BWA41" s="77"/>
      <c r="BWB41" s="86"/>
      <c r="BWC41" s="82"/>
      <c r="BWD41" s="82"/>
      <c r="BWE41" s="82"/>
      <c r="BWF41" s="82"/>
      <c r="BWG41" s="84"/>
      <c r="BWH41" s="84"/>
      <c r="BWI41" s="84"/>
      <c r="BWJ41" s="72"/>
      <c r="BWK41" s="85"/>
      <c r="BWL41" s="72"/>
      <c r="BWM41" s="72"/>
      <c r="BWN41" s="85"/>
      <c r="BWO41" s="71"/>
      <c r="BWP41" s="71"/>
      <c r="BWQ41" s="72"/>
      <c r="BWR41" s="85"/>
      <c r="BWS41" s="76"/>
      <c r="BWT41" s="76"/>
      <c r="BWU41" s="76"/>
      <c r="BWV41" s="76"/>
      <c r="BWW41" s="77"/>
      <c r="BWX41" s="86"/>
      <c r="BWY41" s="82"/>
      <c r="BWZ41" s="82"/>
      <c r="BXA41" s="82"/>
      <c r="BXB41" s="82"/>
      <c r="BXC41" s="84"/>
      <c r="BXD41" s="84"/>
      <c r="BXE41" s="84"/>
      <c r="BXF41" s="72"/>
      <c r="BXG41" s="85"/>
      <c r="BXH41" s="72"/>
      <c r="BXI41" s="72"/>
      <c r="BXJ41" s="85"/>
      <c r="BXK41" s="71"/>
      <c r="BXL41" s="71"/>
      <c r="BXM41" s="72"/>
      <c r="BXN41" s="85"/>
      <c r="BXO41" s="76"/>
      <c r="BXP41" s="76"/>
      <c r="BXQ41" s="76"/>
      <c r="BXR41" s="76"/>
      <c r="BXS41" s="77"/>
      <c r="BXT41" s="86"/>
      <c r="BXU41" s="82"/>
      <c r="BXV41" s="82"/>
      <c r="BXW41" s="82"/>
      <c r="BXX41" s="82"/>
      <c r="BXY41" s="84"/>
      <c r="BXZ41" s="84"/>
      <c r="BYA41" s="84"/>
      <c r="BYB41" s="72"/>
      <c r="BYC41" s="85"/>
      <c r="BYD41" s="72"/>
      <c r="BYE41" s="72"/>
      <c r="BYF41" s="85"/>
      <c r="BYG41" s="71"/>
      <c r="BYH41" s="71"/>
      <c r="BYI41" s="72"/>
      <c r="BYJ41" s="85"/>
      <c r="BYK41" s="76"/>
      <c r="BYL41" s="76"/>
      <c r="BYM41" s="76"/>
      <c r="BYN41" s="76"/>
      <c r="BYO41" s="77"/>
      <c r="BYP41" s="86"/>
      <c r="BYQ41" s="82"/>
      <c r="BYR41" s="82"/>
      <c r="BYS41" s="82"/>
      <c r="BYT41" s="82"/>
      <c r="BYU41" s="84"/>
      <c r="BYV41" s="84"/>
      <c r="BYW41" s="84"/>
      <c r="BYX41" s="72"/>
      <c r="BYY41" s="85"/>
      <c r="BYZ41" s="72"/>
      <c r="BZA41" s="72"/>
      <c r="BZB41" s="85"/>
      <c r="BZC41" s="71"/>
      <c r="BZD41" s="71"/>
      <c r="BZE41" s="72"/>
      <c r="BZF41" s="85"/>
      <c r="BZG41" s="76"/>
      <c r="BZH41" s="76"/>
      <c r="BZI41" s="76"/>
      <c r="BZJ41" s="76"/>
      <c r="BZK41" s="77"/>
      <c r="BZL41" s="86"/>
      <c r="BZM41" s="82"/>
      <c r="BZN41" s="82"/>
      <c r="BZO41" s="82"/>
      <c r="BZP41" s="82"/>
      <c r="BZQ41" s="84"/>
      <c r="BZR41" s="84"/>
      <c r="BZS41" s="84"/>
      <c r="BZT41" s="72"/>
      <c r="BZU41" s="85"/>
      <c r="BZV41" s="72"/>
      <c r="BZW41" s="72"/>
      <c r="BZX41" s="85"/>
      <c r="BZY41" s="71"/>
      <c r="BZZ41" s="71"/>
      <c r="CAA41" s="72"/>
      <c r="CAB41" s="85"/>
      <c r="CAC41" s="76"/>
      <c r="CAD41" s="76"/>
      <c r="CAE41" s="76"/>
      <c r="CAF41" s="76"/>
      <c r="CAG41" s="77"/>
      <c r="CAH41" s="86"/>
      <c r="CAI41" s="82"/>
      <c r="CAJ41" s="82"/>
      <c r="CAK41" s="82"/>
      <c r="CAL41" s="82"/>
      <c r="CAM41" s="84"/>
      <c r="CAN41" s="84"/>
      <c r="CAO41" s="84"/>
      <c r="CAP41" s="72"/>
      <c r="CAQ41" s="85"/>
      <c r="CAR41" s="72"/>
      <c r="CAS41" s="72"/>
      <c r="CAT41" s="85"/>
      <c r="CAU41" s="71"/>
      <c r="CAV41" s="71"/>
      <c r="CAW41" s="72"/>
      <c r="CAX41" s="85"/>
      <c r="CAY41" s="76"/>
      <c r="CAZ41" s="76"/>
      <c r="CBA41" s="76"/>
      <c r="CBB41" s="76"/>
      <c r="CBC41" s="77"/>
      <c r="CBD41" s="86"/>
      <c r="CBE41" s="82"/>
      <c r="CBF41" s="82"/>
      <c r="CBG41" s="82"/>
      <c r="CBH41" s="82"/>
      <c r="CBI41" s="84"/>
      <c r="CBJ41" s="84"/>
      <c r="CBK41" s="84"/>
      <c r="CBL41" s="72"/>
      <c r="CBM41" s="85"/>
      <c r="CBN41" s="72"/>
      <c r="CBO41" s="72"/>
      <c r="CBP41" s="85"/>
      <c r="CBQ41" s="71"/>
      <c r="CBR41" s="71"/>
      <c r="CBS41" s="72"/>
      <c r="CBT41" s="85"/>
      <c r="CBU41" s="76"/>
      <c r="CBV41" s="76"/>
      <c r="CBW41" s="76"/>
      <c r="CBX41" s="76"/>
      <c r="CBY41" s="77"/>
      <c r="CBZ41" s="86"/>
      <c r="CCA41" s="82"/>
      <c r="CCB41" s="82"/>
      <c r="CCC41" s="82"/>
      <c r="CCD41" s="82"/>
      <c r="CCE41" s="84"/>
      <c r="CCF41" s="84"/>
      <c r="CCG41" s="84"/>
      <c r="CCH41" s="72"/>
      <c r="CCI41" s="85"/>
      <c r="CCJ41" s="72"/>
      <c r="CCK41" s="72"/>
      <c r="CCL41" s="85"/>
      <c r="CCM41" s="71"/>
      <c r="CCN41" s="71"/>
      <c r="CCO41" s="72"/>
      <c r="CCP41" s="85"/>
      <c r="CCQ41" s="76"/>
      <c r="CCR41" s="76"/>
      <c r="CCS41" s="76"/>
      <c r="CCT41" s="76"/>
      <c r="CCU41" s="77"/>
      <c r="CCV41" s="86"/>
      <c r="CCW41" s="82"/>
      <c r="CCX41" s="82"/>
      <c r="CCY41" s="82"/>
      <c r="CCZ41" s="82"/>
      <c r="CDA41" s="84"/>
      <c r="CDB41" s="84"/>
      <c r="CDC41" s="84"/>
      <c r="CDD41" s="72"/>
      <c r="CDE41" s="85"/>
      <c r="CDF41" s="72"/>
      <c r="CDG41" s="72"/>
      <c r="CDH41" s="85"/>
      <c r="CDI41" s="71"/>
      <c r="CDJ41" s="71"/>
      <c r="CDK41" s="72"/>
      <c r="CDL41" s="85"/>
      <c r="CDM41" s="76"/>
      <c r="CDN41" s="76"/>
      <c r="CDO41" s="76"/>
      <c r="CDP41" s="76"/>
      <c r="CDQ41" s="77"/>
      <c r="CDR41" s="86"/>
      <c r="CDS41" s="82"/>
      <c r="CDT41" s="82"/>
      <c r="CDU41" s="82"/>
      <c r="CDV41" s="82"/>
      <c r="CDW41" s="84"/>
      <c r="CDX41" s="84"/>
      <c r="CDY41" s="84"/>
      <c r="CDZ41" s="72"/>
      <c r="CEA41" s="85"/>
      <c r="CEB41" s="72"/>
      <c r="CEC41" s="72"/>
      <c r="CED41" s="85"/>
      <c r="CEE41" s="71"/>
      <c r="CEF41" s="71"/>
      <c r="CEG41" s="72"/>
      <c r="CEH41" s="85"/>
      <c r="CEI41" s="76"/>
      <c r="CEJ41" s="76"/>
      <c r="CEK41" s="76"/>
      <c r="CEL41" s="76"/>
      <c r="CEM41" s="77"/>
      <c r="CEN41" s="86"/>
      <c r="CEO41" s="82"/>
      <c r="CEP41" s="82"/>
      <c r="CEQ41" s="82"/>
      <c r="CER41" s="82"/>
      <c r="CES41" s="84"/>
      <c r="CET41" s="84"/>
      <c r="CEU41" s="84"/>
      <c r="CEV41" s="72"/>
      <c r="CEW41" s="85"/>
      <c r="CEX41" s="72"/>
      <c r="CEY41" s="72"/>
      <c r="CEZ41" s="85"/>
      <c r="CFA41" s="71"/>
      <c r="CFB41" s="71"/>
      <c r="CFC41" s="72"/>
      <c r="CFD41" s="85"/>
      <c r="CFE41" s="76"/>
      <c r="CFF41" s="76"/>
      <c r="CFG41" s="76"/>
      <c r="CFH41" s="76"/>
      <c r="CFI41" s="77"/>
      <c r="CFJ41" s="86"/>
      <c r="CFK41" s="82"/>
      <c r="CFL41" s="82"/>
      <c r="CFM41" s="82"/>
      <c r="CFN41" s="82"/>
      <c r="CFO41" s="84"/>
      <c r="CFP41" s="84"/>
      <c r="CFQ41" s="84"/>
      <c r="CFR41" s="72"/>
      <c r="CFS41" s="85"/>
      <c r="CFT41" s="72"/>
      <c r="CFU41" s="72"/>
      <c r="CFV41" s="85"/>
      <c r="CFW41" s="71"/>
      <c r="CFX41" s="71"/>
      <c r="CFY41" s="72"/>
      <c r="CFZ41" s="85"/>
      <c r="CGA41" s="76"/>
      <c r="CGB41" s="76"/>
      <c r="CGC41" s="76"/>
      <c r="CGD41" s="76"/>
      <c r="CGE41" s="77"/>
      <c r="CGF41" s="86"/>
      <c r="CGG41" s="82"/>
      <c r="CGH41" s="82"/>
      <c r="CGI41" s="82"/>
      <c r="CGJ41" s="82"/>
      <c r="CGK41" s="84"/>
      <c r="CGL41" s="84"/>
      <c r="CGM41" s="84"/>
      <c r="CGN41" s="72"/>
      <c r="CGO41" s="85"/>
      <c r="CGP41" s="72"/>
      <c r="CGQ41" s="72"/>
      <c r="CGR41" s="85"/>
      <c r="CGS41" s="71"/>
      <c r="CGT41" s="71"/>
      <c r="CGU41" s="72"/>
      <c r="CGV41" s="85"/>
      <c r="CGW41" s="76"/>
      <c r="CGX41" s="76"/>
      <c r="CGY41" s="76"/>
      <c r="CGZ41" s="76"/>
      <c r="CHA41" s="77"/>
      <c r="CHB41" s="86"/>
      <c r="CHC41" s="82"/>
      <c r="CHD41" s="82"/>
      <c r="CHE41" s="82"/>
      <c r="CHF41" s="82"/>
      <c r="CHG41" s="84"/>
      <c r="CHH41" s="84"/>
      <c r="CHI41" s="84"/>
      <c r="CHJ41" s="72"/>
      <c r="CHK41" s="85"/>
      <c r="CHL41" s="72"/>
      <c r="CHM41" s="72"/>
      <c r="CHN41" s="85"/>
      <c r="CHO41" s="71"/>
      <c r="CHP41" s="71"/>
      <c r="CHQ41" s="72"/>
      <c r="CHR41" s="85"/>
      <c r="CHS41" s="76"/>
      <c r="CHT41" s="76"/>
      <c r="CHU41" s="76"/>
      <c r="CHV41" s="76"/>
      <c r="CHW41" s="77"/>
      <c r="CHX41" s="86"/>
      <c r="CHY41" s="82"/>
      <c r="CHZ41" s="82"/>
      <c r="CIA41" s="82"/>
      <c r="CIB41" s="82"/>
      <c r="CIC41" s="84"/>
      <c r="CID41" s="84"/>
      <c r="CIE41" s="84"/>
      <c r="CIF41" s="72"/>
      <c r="CIG41" s="85"/>
      <c r="CIH41" s="72"/>
      <c r="CII41" s="72"/>
      <c r="CIJ41" s="85"/>
      <c r="CIK41" s="71"/>
      <c r="CIL41" s="71"/>
      <c r="CIM41" s="72"/>
      <c r="CIN41" s="85"/>
      <c r="CIO41" s="76"/>
      <c r="CIP41" s="76"/>
      <c r="CIQ41" s="76"/>
      <c r="CIR41" s="76"/>
      <c r="CIS41" s="77"/>
      <c r="CIT41" s="86"/>
      <c r="CIU41" s="82"/>
      <c r="CIV41" s="82"/>
      <c r="CIW41" s="82"/>
      <c r="CIX41" s="82"/>
      <c r="CIY41" s="84"/>
      <c r="CIZ41" s="84"/>
      <c r="CJA41" s="84"/>
      <c r="CJB41" s="72"/>
      <c r="CJC41" s="85"/>
      <c r="CJD41" s="72"/>
      <c r="CJE41" s="72"/>
      <c r="CJF41" s="85"/>
      <c r="CJG41" s="71"/>
      <c r="CJH41" s="71"/>
      <c r="CJI41" s="72"/>
      <c r="CJJ41" s="85"/>
      <c r="CJK41" s="76"/>
      <c r="CJL41" s="76"/>
      <c r="CJM41" s="76"/>
      <c r="CJN41" s="76"/>
      <c r="CJO41" s="77"/>
      <c r="CJP41" s="86"/>
      <c r="CJQ41" s="82"/>
      <c r="CJR41" s="82"/>
      <c r="CJS41" s="82"/>
      <c r="CJT41" s="82"/>
      <c r="CJU41" s="84"/>
      <c r="CJV41" s="84"/>
      <c r="CJW41" s="84"/>
      <c r="CJX41" s="72"/>
      <c r="CJY41" s="85"/>
      <c r="CJZ41" s="72"/>
      <c r="CKA41" s="72"/>
      <c r="CKB41" s="85"/>
      <c r="CKC41" s="71"/>
      <c r="CKD41" s="71"/>
      <c r="CKE41" s="72"/>
      <c r="CKF41" s="85"/>
      <c r="CKG41" s="76"/>
      <c r="CKH41" s="76"/>
      <c r="CKI41" s="76"/>
      <c r="CKJ41" s="76"/>
      <c r="CKK41" s="77"/>
      <c r="CKL41" s="86"/>
      <c r="CKM41" s="82"/>
      <c r="CKN41" s="82"/>
      <c r="CKO41" s="82"/>
      <c r="CKP41" s="82"/>
      <c r="CKQ41" s="84"/>
      <c r="CKR41" s="84"/>
      <c r="CKS41" s="84"/>
      <c r="CKT41" s="72"/>
      <c r="CKU41" s="85"/>
      <c r="CKV41" s="72"/>
      <c r="CKW41" s="72"/>
      <c r="CKX41" s="85"/>
      <c r="CKY41" s="71"/>
      <c r="CKZ41" s="71"/>
      <c r="CLA41" s="72"/>
      <c r="CLB41" s="85"/>
      <c r="CLC41" s="76"/>
      <c r="CLD41" s="76"/>
      <c r="CLE41" s="76"/>
      <c r="CLF41" s="76"/>
      <c r="CLG41" s="77"/>
      <c r="CLH41" s="86"/>
      <c r="CLI41" s="82"/>
      <c r="CLJ41" s="82"/>
      <c r="CLK41" s="82"/>
      <c r="CLL41" s="82"/>
      <c r="CLM41" s="84"/>
      <c r="CLN41" s="84"/>
      <c r="CLO41" s="84"/>
      <c r="CLP41" s="72"/>
      <c r="CLQ41" s="85"/>
      <c r="CLR41" s="72"/>
      <c r="CLS41" s="72"/>
      <c r="CLT41" s="85"/>
      <c r="CLU41" s="71"/>
      <c r="CLV41" s="71"/>
      <c r="CLW41" s="72"/>
      <c r="CLX41" s="85"/>
      <c r="CLY41" s="76"/>
      <c r="CLZ41" s="76"/>
      <c r="CMA41" s="76"/>
      <c r="CMB41" s="76"/>
      <c r="CMC41" s="77"/>
      <c r="CMD41" s="86"/>
      <c r="CME41" s="82"/>
      <c r="CMF41" s="82"/>
      <c r="CMG41" s="82"/>
      <c r="CMH41" s="82"/>
      <c r="CMI41" s="84"/>
      <c r="CMJ41" s="84"/>
      <c r="CMK41" s="84"/>
      <c r="CML41" s="72"/>
      <c r="CMM41" s="85"/>
      <c r="CMN41" s="72"/>
      <c r="CMO41" s="72"/>
      <c r="CMP41" s="85"/>
      <c r="CMQ41" s="71"/>
      <c r="CMR41" s="71"/>
      <c r="CMS41" s="72"/>
      <c r="CMT41" s="85"/>
      <c r="CMU41" s="76"/>
      <c r="CMV41" s="76"/>
      <c r="CMW41" s="76"/>
      <c r="CMX41" s="76"/>
      <c r="CMY41" s="77"/>
      <c r="CMZ41" s="86"/>
      <c r="CNA41" s="82"/>
      <c r="CNB41" s="82"/>
      <c r="CNC41" s="82"/>
      <c r="CND41" s="82"/>
      <c r="CNE41" s="84"/>
      <c r="CNF41" s="84"/>
      <c r="CNG41" s="84"/>
      <c r="CNH41" s="72"/>
      <c r="CNI41" s="85"/>
      <c r="CNJ41" s="72"/>
      <c r="CNK41" s="72"/>
      <c r="CNL41" s="85"/>
      <c r="CNM41" s="71"/>
      <c r="CNN41" s="71"/>
      <c r="CNO41" s="72"/>
      <c r="CNP41" s="85"/>
      <c r="CNQ41" s="76"/>
      <c r="CNR41" s="76"/>
      <c r="CNS41" s="76"/>
      <c r="CNT41" s="76"/>
      <c r="CNU41" s="77"/>
      <c r="CNV41" s="86"/>
      <c r="CNW41" s="82"/>
      <c r="CNX41" s="82"/>
      <c r="CNY41" s="82"/>
      <c r="CNZ41" s="82"/>
      <c r="COA41" s="84"/>
      <c r="COB41" s="84"/>
      <c r="COC41" s="84"/>
      <c r="COD41" s="72"/>
      <c r="COE41" s="85"/>
      <c r="COF41" s="72"/>
      <c r="COG41" s="72"/>
      <c r="COH41" s="85"/>
      <c r="COI41" s="71"/>
      <c r="COJ41" s="71"/>
      <c r="COK41" s="72"/>
      <c r="COL41" s="85"/>
      <c r="COM41" s="76"/>
      <c r="CON41" s="76"/>
      <c r="COO41" s="76"/>
      <c r="COP41" s="76"/>
      <c r="COQ41" s="77"/>
      <c r="COR41" s="86"/>
      <c r="COS41" s="82"/>
      <c r="COT41" s="82"/>
      <c r="COU41" s="82"/>
      <c r="COV41" s="82"/>
      <c r="COW41" s="84"/>
      <c r="COX41" s="84"/>
      <c r="COY41" s="84"/>
      <c r="COZ41" s="72"/>
      <c r="CPA41" s="85"/>
      <c r="CPB41" s="72"/>
      <c r="CPC41" s="72"/>
      <c r="CPD41" s="85"/>
      <c r="CPE41" s="71"/>
      <c r="CPF41" s="71"/>
      <c r="CPG41" s="72"/>
      <c r="CPH41" s="85"/>
      <c r="CPI41" s="76"/>
      <c r="CPJ41" s="76"/>
      <c r="CPK41" s="76"/>
      <c r="CPL41" s="76"/>
      <c r="CPM41" s="77"/>
      <c r="CPN41" s="86"/>
      <c r="CPO41" s="82"/>
      <c r="CPP41" s="82"/>
      <c r="CPQ41" s="82"/>
      <c r="CPR41" s="82"/>
      <c r="CPS41" s="84"/>
      <c r="CPT41" s="84"/>
      <c r="CPU41" s="84"/>
      <c r="CPV41" s="72"/>
      <c r="CPW41" s="85"/>
      <c r="CPX41" s="72"/>
      <c r="CPY41" s="72"/>
      <c r="CPZ41" s="85"/>
      <c r="CQA41" s="71"/>
      <c r="CQB41" s="71"/>
      <c r="CQC41" s="72"/>
      <c r="CQD41" s="85"/>
      <c r="CQE41" s="76"/>
      <c r="CQF41" s="76"/>
      <c r="CQG41" s="76"/>
      <c r="CQH41" s="76"/>
      <c r="CQI41" s="77"/>
      <c r="CQJ41" s="86"/>
      <c r="CQK41" s="82"/>
      <c r="CQL41" s="82"/>
      <c r="CQM41" s="82"/>
      <c r="CQN41" s="82"/>
      <c r="CQO41" s="84"/>
      <c r="CQP41" s="84"/>
      <c r="CQQ41" s="84"/>
      <c r="CQR41" s="72"/>
      <c r="CQS41" s="85"/>
      <c r="CQT41" s="72"/>
      <c r="CQU41" s="72"/>
      <c r="CQV41" s="85"/>
      <c r="CQW41" s="71"/>
      <c r="CQX41" s="71"/>
      <c r="CQY41" s="72"/>
      <c r="CQZ41" s="85"/>
      <c r="CRA41" s="76"/>
      <c r="CRB41" s="76"/>
      <c r="CRC41" s="76"/>
      <c r="CRD41" s="76"/>
      <c r="CRE41" s="77"/>
      <c r="CRF41" s="86"/>
      <c r="CRG41" s="82"/>
      <c r="CRH41" s="82"/>
      <c r="CRI41" s="82"/>
      <c r="CRJ41" s="82"/>
      <c r="CRK41" s="84"/>
      <c r="CRL41" s="84"/>
      <c r="CRM41" s="84"/>
      <c r="CRN41" s="72"/>
      <c r="CRO41" s="85"/>
      <c r="CRP41" s="72"/>
      <c r="CRQ41" s="72"/>
      <c r="CRR41" s="85"/>
      <c r="CRS41" s="71"/>
      <c r="CRT41" s="71"/>
      <c r="CRU41" s="72"/>
      <c r="CRV41" s="85"/>
      <c r="CRW41" s="76"/>
      <c r="CRX41" s="76"/>
      <c r="CRY41" s="76"/>
      <c r="CRZ41" s="76"/>
      <c r="CSA41" s="77"/>
      <c r="CSB41" s="86"/>
      <c r="CSC41" s="82"/>
      <c r="CSD41" s="82"/>
      <c r="CSE41" s="82"/>
      <c r="CSF41" s="82"/>
      <c r="CSG41" s="84"/>
      <c r="CSH41" s="84"/>
      <c r="CSI41" s="84"/>
      <c r="CSJ41" s="72"/>
      <c r="CSK41" s="85"/>
      <c r="CSL41" s="72"/>
      <c r="CSM41" s="72"/>
      <c r="CSN41" s="85"/>
      <c r="CSO41" s="71"/>
      <c r="CSP41" s="71"/>
      <c r="CSQ41" s="72"/>
      <c r="CSR41" s="85"/>
      <c r="CSS41" s="76"/>
      <c r="CST41" s="76"/>
      <c r="CSU41" s="76"/>
      <c r="CSV41" s="76"/>
      <c r="CSW41" s="77"/>
      <c r="CSX41" s="86"/>
      <c r="CSY41" s="82"/>
      <c r="CSZ41" s="82"/>
      <c r="CTA41" s="82"/>
      <c r="CTB41" s="82"/>
      <c r="CTC41" s="84"/>
      <c r="CTD41" s="84"/>
      <c r="CTE41" s="84"/>
      <c r="CTF41" s="72"/>
    </row>
    <row r="42" s="8" customFormat="1" ht="400" customHeight="1" spans="1:1024 1025:2554">
      <c r="A42" s="70">
        <v>30</v>
      </c>
      <c r="B42" s="71" t="s">
        <v>88</v>
      </c>
      <c r="C42" s="72" t="s">
        <v>41</v>
      </c>
      <c r="D42" s="73" t="s">
        <v>75</v>
      </c>
      <c r="E42" s="71" t="s">
        <v>89</v>
      </c>
      <c r="F42" s="71">
        <v>38.1</v>
      </c>
      <c r="G42" s="71"/>
      <c r="H42" s="74">
        <v>1.65</v>
      </c>
      <c r="I42" s="75" t="s">
        <v>43</v>
      </c>
      <c r="J42" s="71">
        <v>6</v>
      </c>
      <c r="K42" s="76">
        <f t="shared" si="0"/>
        <v>40</v>
      </c>
      <c r="L42" s="73">
        <v>240</v>
      </c>
      <c r="M42" s="77">
        <v>7.65</v>
      </c>
      <c r="N42" s="78">
        <f t="shared" si="3"/>
        <v>1836</v>
      </c>
      <c r="O42" s="79">
        <v>1.458</v>
      </c>
      <c r="P42" s="82">
        <f t="shared" si="4"/>
        <v>349.92</v>
      </c>
      <c r="Q42" s="71">
        <v>73064000</v>
      </c>
      <c r="R42" s="81"/>
      <c r="S42" s="83"/>
      <c r="T42" s="82"/>
      <c r="U42" s="84"/>
      <c r="V42" s="84"/>
      <c r="W42" s="84"/>
      <c r="X42" s="72"/>
      <c r="Y42" s="85"/>
      <c r="Z42" s="72"/>
      <c r="AA42" s="72"/>
      <c r="AB42" s="85"/>
      <c r="AC42" s="71"/>
      <c r="AD42" s="71"/>
      <c r="AE42" s="72"/>
      <c r="AF42" s="85"/>
      <c r="AG42" s="76"/>
      <c r="AH42" s="76"/>
      <c r="AI42" s="76"/>
      <c r="AJ42" s="76"/>
      <c r="AK42" s="77"/>
      <c r="AL42" s="86"/>
      <c r="AM42" s="82"/>
      <c r="AN42" s="82"/>
      <c r="AO42" s="82"/>
      <c r="AP42" s="82"/>
      <c r="AQ42" s="84"/>
      <c r="AR42" s="84"/>
      <c r="AS42" s="84"/>
      <c r="AT42" s="72"/>
      <c r="AU42" s="85"/>
      <c r="AV42" s="72"/>
      <c r="AW42" s="72"/>
      <c r="AX42" s="85"/>
      <c r="AY42" s="71"/>
      <c r="AZ42" s="71"/>
      <c r="BA42" s="72"/>
      <c r="BB42" s="85"/>
      <c r="BC42" s="76"/>
      <c r="BD42" s="76"/>
      <c r="BE42" s="76"/>
      <c r="BF42" s="76"/>
      <c r="BG42" s="77"/>
      <c r="BH42" s="86"/>
      <c r="BI42" s="82"/>
      <c r="BJ42" s="82"/>
      <c r="BK42" s="82"/>
      <c r="BL42" s="82"/>
      <c r="BM42" s="84"/>
      <c r="BN42" s="84"/>
      <c r="BO42" s="84"/>
      <c r="BP42" s="72"/>
      <c r="BQ42" s="85"/>
      <c r="BR42" s="72"/>
      <c r="BS42" s="72"/>
      <c r="BT42" s="85"/>
      <c r="BU42" s="71"/>
      <c r="BV42" s="71"/>
      <c r="BW42" s="72"/>
      <c r="BX42" s="85"/>
      <c r="BY42" s="76"/>
      <c r="BZ42" s="76"/>
      <c r="CA42" s="76"/>
      <c r="CB42" s="76"/>
      <c r="CC42" s="77"/>
      <c r="CD42" s="86"/>
      <c r="CE42" s="82"/>
      <c r="CF42" s="82"/>
      <c r="CG42" s="82"/>
      <c r="CH42" s="82"/>
      <c r="CI42" s="84"/>
      <c r="CJ42" s="84"/>
      <c r="CK42" s="84"/>
      <c r="CL42" s="72"/>
      <c r="CM42" s="85"/>
      <c r="CN42" s="72"/>
      <c r="CO42" s="72"/>
      <c r="CP42" s="85"/>
      <c r="CQ42" s="71"/>
      <c r="CR42" s="71"/>
      <c r="CS42" s="72"/>
      <c r="CT42" s="85"/>
      <c r="CU42" s="76"/>
      <c r="CV42" s="76"/>
      <c r="CW42" s="76"/>
      <c r="CX42" s="76"/>
      <c r="CY42" s="77"/>
      <c r="CZ42" s="86"/>
      <c r="DA42" s="82"/>
      <c r="DB42" s="82"/>
      <c r="DC42" s="82"/>
      <c r="DD42" s="82"/>
      <c r="DE42" s="84"/>
      <c r="DF42" s="84"/>
      <c r="DG42" s="84"/>
      <c r="DH42" s="72"/>
      <c r="DI42" s="85"/>
      <c r="DJ42" s="72"/>
      <c r="DK42" s="72"/>
      <c r="DL42" s="85"/>
      <c r="DM42" s="71"/>
      <c r="DN42" s="71"/>
      <c r="DO42" s="72"/>
      <c r="DP42" s="85"/>
      <c r="DQ42" s="76"/>
      <c r="DR42" s="76"/>
      <c r="DS42" s="76"/>
      <c r="DT42" s="76"/>
      <c r="DU42" s="77"/>
      <c r="DV42" s="86"/>
      <c r="DW42" s="82"/>
      <c r="DX42" s="82"/>
      <c r="DY42" s="82"/>
      <c r="DZ42" s="82"/>
      <c r="EA42" s="84"/>
      <c r="EB42" s="84"/>
      <c r="EC42" s="84"/>
      <c r="ED42" s="72"/>
      <c r="EE42" s="85"/>
      <c r="EF42" s="72"/>
      <c r="EG42" s="72"/>
      <c r="EH42" s="85"/>
      <c r="EI42" s="71"/>
      <c r="EJ42" s="71"/>
      <c r="EK42" s="72"/>
      <c r="EL42" s="85"/>
      <c r="EM42" s="76"/>
      <c r="EN42" s="76"/>
      <c r="EO42" s="76"/>
      <c r="EP42" s="76"/>
      <c r="EQ42" s="77"/>
      <c r="ER42" s="86"/>
      <c r="ES42" s="82"/>
      <c r="ET42" s="82"/>
      <c r="EU42" s="82"/>
      <c r="EV42" s="82"/>
      <c r="EW42" s="84"/>
      <c r="EX42" s="84"/>
      <c r="EY42" s="84"/>
      <c r="EZ42" s="72"/>
      <c r="FA42" s="85"/>
      <c r="FB42" s="72"/>
      <c r="FC42" s="72"/>
      <c r="FD42" s="85"/>
      <c r="FE42" s="71"/>
      <c r="FF42" s="71"/>
      <c r="FG42" s="72"/>
      <c r="FH42" s="85"/>
      <c r="FI42" s="76"/>
      <c r="FJ42" s="76"/>
      <c r="FK42" s="76"/>
      <c r="FL42" s="76"/>
      <c r="FM42" s="77"/>
      <c r="FN42" s="86"/>
      <c r="FO42" s="82"/>
      <c r="FP42" s="82"/>
      <c r="FQ42" s="82"/>
      <c r="FR42" s="82"/>
      <c r="FS42" s="84"/>
      <c r="FT42" s="84"/>
      <c r="FU42" s="84"/>
      <c r="FV42" s="72"/>
      <c r="FW42" s="85"/>
      <c r="FX42" s="72"/>
      <c r="FY42" s="72"/>
      <c r="FZ42" s="85"/>
      <c r="GA42" s="71"/>
      <c r="GB42" s="71"/>
      <c r="GC42" s="72"/>
      <c r="GD42" s="85"/>
      <c r="GE42" s="76"/>
      <c r="GF42" s="76"/>
      <c r="GG42" s="76"/>
      <c r="GH42" s="76"/>
      <c r="GI42" s="77"/>
      <c r="GJ42" s="86"/>
      <c r="GK42" s="82"/>
      <c r="GL42" s="82"/>
      <c r="GM42" s="82"/>
      <c r="GN42" s="82"/>
      <c r="GO42" s="84"/>
      <c r="GP42" s="84"/>
      <c r="GQ42" s="84"/>
      <c r="GR42" s="72"/>
      <c r="GS42" s="85"/>
      <c r="GT42" s="72"/>
      <c r="GU42" s="72"/>
      <c r="GV42" s="85"/>
      <c r="GW42" s="71"/>
      <c r="GX42" s="71"/>
      <c r="GY42" s="72"/>
      <c r="GZ42" s="85"/>
      <c r="HA42" s="76"/>
      <c r="HB42" s="76"/>
      <c r="HC42" s="76"/>
      <c r="HD42" s="76"/>
      <c r="HE42" s="77"/>
      <c r="HF42" s="86"/>
      <c r="HG42" s="82"/>
      <c r="HH42" s="82"/>
      <c r="HI42" s="82"/>
      <c r="HJ42" s="82"/>
      <c r="HK42" s="84"/>
      <c r="HL42" s="84"/>
      <c r="HM42" s="84"/>
      <c r="HN42" s="72"/>
      <c r="HO42" s="85"/>
      <c r="HP42" s="72"/>
      <c r="HQ42" s="72"/>
      <c r="HR42" s="85"/>
      <c r="HS42" s="71"/>
      <c r="HT42" s="71"/>
      <c r="HU42" s="72"/>
      <c r="HV42" s="85"/>
      <c r="HW42" s="76"/>
      <c r="HX42" s="76"/>
      <c r="HY42" s="76"/>
      <c r="HZ42" s="76"/>
      <c r="IA42" s="77"/>
      <c r="IB42" s="86"/>
      <c r="IC42" s="82"/>
      <c r="ID42" s="82"/>
      <c r="IE42" s="82"/>
      <c r="IF42" s="82"/>
      <c r="IG42" s="84"/>
      <c r="IH42" s="84"/>
      <c r="II42" s="84"/>
      <c r="IJ42" s="72"/>
      <c r="IK42" s="85"/>
      <c r="IL42" s="72"/>
      <c r="IM42" s="72"/>
      <c r="IN42" s="85"/>
      <c r="IO42" s="71"/>
      <c r="IP42" s="71"/>
      <c r="IQ42" s="72"/>
      <c r="IR42" s="85"/>
      <c r="IS42" s="76"/>
      <c r="IT42" s="76"/>
      <c r="IU42" s="76"/>
      <c r="IV42" s="76"/>
      <c r="IW42" s="77"/>
      <c r="IX42" s="86"/>
      <c r="IY42" s="82"/>
      <c r="IZ42" s="82"/>
      <c r="JA42" s="82"/>
      <c r="JB42" s="82"/>
      <c r="JC42" s="84"/>
      <c r="JD42" s="84"/>
      <c r="JE42" s="84"/>
      <c r="JF42" s="72"/>
      <c r="JG42" s="85"/>
      <c r="JH42" s="72"/>
      <c r="JI42" s="72"/>
      <c r="JJ42" s="85"/>
      <c r="JK42" s="71"/>
      <c r="JL42" s="71"/>
      <c r="JM42" s="72"/>
      <c r="JN42" s="85"/>
      <c r="JO42" s="76"/>
      <c r="JP42" s="76"/>
      <c r="JQ42" s="76"/>
      <c r="JR42" s="76"/>
      <c r="JS42" s="77"/>
      <c r="JT42" s="86"/>
      <c r="JU42" s="82"/>
      <c r="JV42" s="82"/>
      <c r="JW42" s="82"/>
      <c r="JX42" s="82"/>
      <c r="JY42" s="84"/>
      <c r="JZ42" s="84"/>
      <c r="KA42" s="84"/>
      <c r="KB42" s="72"/>
      <c r="KC42" s="85"/>
      <c r="KD42" s="72"/>
      <c r="KE42" s="72"/>
      <c r="KF42" s="85"/>
      <c r="KG42" s="71"/>
      <c r="KH42" s="71"/>
      <c r="KI42" s="72"/>
      <c r="KJ42" s="85"/>
      <c r="KK42" s="76"/>
      <c r="KL42" s="76"/>
      <c r="KM42" s="76"/>
      <c r="KN42" s="76"/>
      <c r="KO42" s="77"/>
      <c r="KP42" s="86"/>
      <c r="KQ42" s="82"/>
      <c r="KR42" s="82"/>
      <c r="KS42" s="82"/>
      <c r="KT42" s="82"/>
      <c r="KU42" s="84"/>
      <c r="KV42" s="84"/>
      <c r="KW42" s="84"/>
      <c r="KX42" s="72"/>
      <c r="KY42" s="85"/>
      <c r="KZ42" s="72"/>
      <c r="LA42" s="72"/>
      <c r="LB42" s="85"/>
      <c r="LC42" s="71"/>
      <c r="LD42" s="71"/>
      <c r="LE42" s="72"/>
      <c r="LF42" s="85"/>
      <c r="LG42" s="76"/>
      <c r="LH42" s="76"/>
      <c r="LI42" s="76"/>
      <c r="LJ42" s="76"/>
      <c r="LK42" s="77"/>
      <c r="LL42" s="86"/>
      <c r="LM42" s="82"/>
      <c r="LN42" s="82"/>
      <c r="LO42" s="82"/>
      <c r="LP42" s="82"/>
      <c r="LQ42" s="84"/>
      <c r="LR42" s="84"/>
      <c r="LS42" s="84"/>
      <c r="LT42" s="72"/>
      <c r="LU42" s="85"/>
      <c r="LV42" s="72"/>
      <c r="LW42" s="72"/>
      <c r="LX42" s="85"/>
      <c r="LY42" s="71"/>
      <c r="LZ42" s="71"/>
      <c r="MA42" s="72"/>
      <c r="MB42" s="85"/>
      <c r="MC42" s="76"/>
      <c r="MD42" s="76"/>
      <c r="ME42" s="76"/>
      <c r="MF42" s="76"/>
      <c r="MG42" s="77"/>
      <c r="MH42" s="86"/>
      <c r="MI42" s="82"/>
      <c r="MJ42" s="82"/>
      <c r="MK42" s="82"/>
      <c r="ML42" s="82"/>
      <c r="MM42" s="84"/>
      <c r="MN42" s="84"/>
      <c r="MO42" s="84"/>
      <c r="MP42" s="72"/>
      <c r="MQ42" s="85"/>
      <c r="MR42" s="72"/>
      <c r="MS42" s="72"/>
      <c r="MT42" s="85"/>
      <c r="MU42" s="71"/>
      <c r="MV42" s="71"/>
      <c r="MW42" s="72"/>
      <c r="MX42" s="85"/>
      <c r="MY42" s="76"/>
      <c r="MZ42" s="76"/>
      <c r="NA42" s="76"/>
      <c r="NB42" s="76"/>
      <c r="NC42" s="77"/>
      <c r="ND42" s="86"/>
      <c r="NE42" s="82"/>
      <c r="NF42" s="82"/>
      <c r="NG42" s="82"/>
      <c r="NH42" s="82"/>
      <c r="NI42" s="84"/>
      <c r="NJ42" s="84"/>
      <c r="NK42" s="84"/>
      <c r="NL42" s="72"/>
      <c r="NM42" s="85"/>
      <c r="NN42" s="72"/>
      <c r="NO42" s="72"/>
      <c r="NP42" s="85"/>
      <c r="NQ42" s="71"/>
      <c r="NR42" s="71"/>
      <c r="NS42" s="72"/>
      <c r="NT42" s="85"/>
      <c r="NU42" s="76"/>
      <c r="NV42" s="76"/>
      <c r="NW42" s="76"/>
      <c r="NX42" s="76"/>
      <c r="NY42" s="77"/>
      <c r="NZ42" s="86"/>
      <c r="OA42" s="82"/>
      <c r="OB42" s="82"/>
      <c r="OC42" s="82"/>
      <c r="OD42" s="82"/>
      <c r="OE42" s="84"/>
      <c r="OF42" s="84"/>
      <c r="OG42" s="84"/>
      <c r="OH42" s="72"/>
      <c r="OI42" s="85"/>
      <c r="OJ42" s="72"/>
      <c r="OK42" s="72"/>
      <c r="OL42" s="85"/>
      <c r="OM42" s="71"/>
      <c r="ON42" s="71"/>
      <c r="OO42" s="72"/>
      <c r="OP42" s="85"/>
      <c r="OQ42" s="76"/>
      <c r="OR42" s="76"/>
      <c r="OS42" s="76"/>
      <c r="OT42" s="76"/>
      <c r="OU42" s="77"/>
      <c r="OV42" s="86"/>
      <c r="OW42" s="82"/>
      <c r="OX42" s="82"/>
      <c r="OY42" s="82"/>
      <c r="OZ42" s="82"/>
      <c r="PA42" s="84"/>
      <c r="PB42" s="84"/>
      <c r="PC42" s="84"/>
      <c r="PD42" s="72"/>
      <c r="PE42" s="85"/>
      <c r="PF42" s="72"/>
      <c r="PG42" s="72"/>
      <c r="PH42" s="85"/>
      <c r="PI42" s="71"/>
      <c r="PJ42" s="71"/>
      <c r="PK42" s="72"/>
      <c r="PL42" s="85"/>
      <c r="PM42" s="76"/>
      <c r="PN42" s="76"/>
      <c r="PO42" s="76"/>
      <c r="PP42" s="76"/>
      <c r="PQ42" s="77"/>
      <c r="PR42" s="86"/>
      <c r="PS42" s="82"/>
      <c r="PT42" s="82"/>
      <c r="PU42" s="82"/>
      <c r="PV42" s="82"/>
      <c r="PW42" s="84"/>
      <c r="PX42" s="84"/>
      <c r="PY42" s="84"/>
      <c r="PZ42" s="72"/>
      <c r="QA42" s="85"/>
      <c r="QB42" s="72"/>
      <c r="QC42" s="72"/>
      <c r="QD42" s="85"/>
      <c r="QE42" s="71"/>
      <c r="QF42" s="71"/>
      <c r="QG42" s="72"/>
      <c r="QH42" s="85"/>
      <c r="QI42" s="76"/>
      <c r="QJ42" s="76"/>
      <c r="QK42" s="76"/>
      <c r="QL42" s="76"/>
      <c r="QM42" s="77"/>
      <c r="QN42" s="86"/>
      <c r="QO42" s="82"/>
      <c r="QP42" s="82"/>
      <c r="QQ42" s="82"/>
      <c r="QR42" s="82"/>
      <c r="QS42" s="84"/>
      <c r="QT42" s="84"/>
      <c r="QU42" s="84"/>
      <c r="QV42" s="72"/>
      <c r="QW42" s="85"/>
      <c r="QX42" s="72"/>
      <c r="QY42" s="72"/>
      <c r="QZ42" s="85"/>
      <c r="RA42" s="71"/>
      <c r="RB42" s="71"/>
      <c r="RC42" s="72"/>
      <c r="RD42" s="85"/>
      <c r="RE42" s="76"/>
      <c r="RF42" s="76"/>
      <c r="RG42" s="76"/>
      <c r="RH42" s="76"/>
      <c r="RI42" s="77"/>
      <c r="RJ42" s="86"/>
      <c r="RK42" s="82"/>
      <c r="RL42" s="82"/>
      <c r="RM42" s="82"/>
      <c r="RN42" s="82"/>
      <c r="RO42" s="84"/>
      <c r="RP42" s="84"/>
      <c r="RQ42" s="84"/>
      <c r="RR42" s="72"/>
      <c r="RS42" s="85"/>
      <c r="RT42" s="72"/>
      <c r="RU42" s="72"/>
      <c r="RV42" s="85"/>
      <c r="RW42" s="71"/>
      <c r="RX42" s="71"/>
      <c r="RY42" s="72"/>
      <c r="RZ42" s="85"/>
      <c r="SA42" s="76"/>
      <c r="SB42" s="76"/>
      <c r="SC42" s="76"/>
      <c r="SD42" s="76"/>
      <c r="SE42" s="77"/>
      <c r="SF42" s="86"/>
      <c r="SG42" s="82"/>
      <c r="SH42" s="82"/>
      <c r="SI42" s="82"/>
      <c r="SJ42" s="82"/>
      <c r="SK42" s="84"/>
      <c r="SL42" s="84"/>
      <c r="SM42" s="84"/>
      <c r="SN42" s="72"/>
      <c r="SO42" s="85"/>
      <c r="SP42" s="72"/>
      <c r="SQ42" s="72"/>
      <c r="SR42" s="85"/>
      <c r="SS42" s="71"/>
      <c r="ST42" s="71"/>
      <c r="SU42" s="72"/>
      <c r="SV42" s="85"/>
      <c r="SW42" s="76"/>
      <c r="SX42" s="76"/>
      <c r="SY42" s="76"/>
      <c r="SZ42" s="76"/>
      <c r="TA42" s="77"/>
      <c r="TB42" s="86"/>
      <c r="TC42" s="82"/>
      <c r="TD42" s="82"/>
      <c r="TE42" s="82"/>
      <c r="TF42" s="82"/>
      <c r="TG42" s="84"/>
      <c r="TH42" s="84"/>
      <c r="TI42" s="84"/>
      <c r="TJ42" s="72"/>
      <c r="TK42" s="85"/>
      <c r="TL42" s="72"/>
      <c r="TM42" s="72"/>
      <c r="TN42" s="85"/>
      <c r="TO42" s="71"/>
      <c r="TP42" s="71"/>
      <c r="TQ42" s="72"/>
      <c r="TR42" s="85"/>
      <c r="TS42" s="76"/>
      <c r="TT42" s="76"/>
      <c r="TU42" s="76"/>
      <c r="TV42" s="76"/>
      <c r="TW42" s="77"/>
      <c r="TX42" s="86"/>
      <c r="TY42" s="82"/>
      <c r="TZ42" s="82"/>
      <c r="UA42" s="82"/>
      <c r="UB42" s="82"/>
      <c r="UC42" s="84"/>
      <c r="UD42" s="84"/>
      <c r="UE42" s="84"/>
      <c r="UF42" s="72"/>
      <c r="UG42" s="85"/>
      <c r="UH42" s="72"/>
      <c r="UI42" s="72"/>
      <c r="UJ42" s="85"/>
      <c r="UK42" s="71"/>
      <c r="UL42" s="71"/>
      <c r="UM42" s="72"/>
      <c r="UN42" s="85"/>
      <c r="UO42" s="76"/>
      <c r="UP42" s="76"/>
      <c r="UQ42" s="76"/>
      <c r="UR42" s="76"/>
      <c r="US42" s="77"/>
      <c r="UT42" s="86"/>
      <c r="UU42" s="82"/>
      <c r="UV42" s="82"/>
      <c r="UW42" s="82"/>
      <c r="UX42" s="82"/>
      <c r="UY42" s="84"/>
      <c r="UZ42" s="84"/>
      <c r="VA42" s="84"/>
      <c r="VB42" s="72"/>
      <c r="VC42" s="85"/>
      <c r="VD42" s="72"/>
      <c r="VE42" s="72"/>
      <c r="VF42" s="85"/>
      <c r="VG42" s="71"/>
      <c r="VH42" s="71"/>
      <c r="VI42" s="72"/>
      <c r="VJ42" s="85"/>
      <c r="VK42" s="76"/>
      <c r="VL42" s="76"/>
      <c r="VM42" s="76"/>
      <c r="VN42" s="76"/>
      <c r="VO42" s="77"/>
      <c r="VP42" s="86"/>
      <c r="VQ42" s="82"/>
      <c r="VR42" s="82"/>
      <c r="VS42" s="82"/>
      <c r="VT42" s="82"/>
      <c r="VU42" s="84"/>
      <c r="VV42" s="84"/>
      <c r="VW42" s="84"/>
      <c r="VX42" s="72"/>
      <c r="VY42" s="85"/>
      <c r="VZ42" s="72"/>
      <c r="WA42" s="72"/>
      <c r="WB42" s="85"/>
      <c r="WC42" s="71"/>
      <c r="WD42" s="71"/>
      <c r="WE42" s="72"/>
      <c r="WF42" s="85"/>
      <c r="WG42" s="76"/>
      <c r="WH42" s="76"/>
      <c r="WI42" s="76"/>
      <c r="WJ42" s="76"/>
      <c r="WK42" s="77"/>
      <c r="WL42" s="86"/>
      <c r="WM42" s="82"/>
      <c r="WN42" s="82"/>
      <c r="WO42" s="82"/>
      <c r="WP42" s="82"/>
      <c r="WQ42" s="84"/>
      <c r="WR42" s="84"/>
      <c r="WS42" s="84"/>
      <c r="WT42" s="72"/>
      <c r="WU42" s="85"/>
      <c r="WV42" s="72"/>
      <c r="WW42" s="72"/>
      <c r="WX42" s="85"/>
      <c r="WY42" s="71"/>
      <c r="WZ42" s="71"/>
      <c r="XA42" s="72"/>
      <c r="XB42" s="85"/>
      <c r="XC42" s="76"/>
      <c r="XD42" s="76"/>
      <c r="XE42" s="76"/>
      <c r="XF42" s="76"/>
      <c r="XG42" s="77"/>
      <c r="XH42" s="86"/>
      <c r="XI42" s="82"/>
      <c r="XJ42" s="82"/>
      <c r="XK42" s="82"/>
      <c r="XL42" s="82"/>
      <c r="XM42" s="84"/>
      <c r="XN42" s="84"/>
      <c r="XO42" s="84"/>
      <c r="XP42" s="72"/>
      <c r="XQ42" s="85"/>
      <c r="XR42" s="72"/>
      <c r="XS42" s="72"/>
      <c r="XT42" s="85"/>
      <c r="XU42" s="71"/>
      <c r="XV42" s="71"/>
      <c r="XW42" s="72"/>
      <c r="XX42" s="85"/>
      <c r="XY42" s="76"/>
      <c r="XZ42" s="76"/>
      <c r="YA42" s="76"/>
      <c r="YB42" s="76"/>
      <c r="YC42" s="77"/>
      <c r="YD42" s="86"/>
      <c r="YE42" s="82"/>
      <c r="YF42" s="82"/>
      <c r="YG42" s="82"/>
      <c r="YH42" s="82"/>
      <c r="YI42" s="84"/>
      <c r="YJ42" s="84"/>
      <c r="YK42" s="84"/>
      <c r="YL42" s="72"/>
      <c r="YM42" s="85"/>
      <c r="YN42" s="72"/>
      <c r="YO42" s="72"/>
      <c r="YP42" s="85"/>
      <c r="YQ42" s="71"/>
      <c r="YR42" s="71"/>
      <c r="YS42" s="72"/>
      <c r="YT42" s="85"/>
      <c r="YU42" s="76"/>
      <c r="YV42" s="76"/>
      <c r="YW42" s="76"/>
      <c r="YX42" s="76"/>
      <c r="YY42" s="77"/>
      <c r="YZ42" s="86"/>
      <c r="ZA42" s="82"/>
      <c r="ZB42" s="82"/>
      <c r="ZC42" s="82"/>
      <c r="ZD42" s="82"/>
      <c r="ZE42" s="84"/>
      <c r="ZF42" s="84"/>
      <c r="ZG42" s="84"/>
      <c r="ZH42" s="72"/>
      <c r="ZI42" s="85"/>
      <c r="ZJ42" s="72"/>
      <c r="ZK42" s="72"/>
      <c r="ZL42" s="85"/>
      <c r="ZM42" s="71"/>
      <c r="ZN42" s="71"/>
      <c r="ZO42" s="72"/>
      <c r="ZP42" s="85"/>
      <c r="ZQ42" s="76"/>
      <c r="ZR42" s="76"/>
      <c r="ZS42" s="76"/>
      <c r="ZT42" s="76"/>
      <c r="ZU42" s="77"/>
      <c r="ZV42" s="86"/>
      <c r="ZW42" s="82"/>
      <c r="ZX42" s="82"/>
      <c r="ZY42" s="82"/>
      <c r="ZZ42" s="82"/>
      <c r="AAA42" s="84"/>
      <c r="AAB42" s="84"/>
      <c r="AAC42" s="84"/>
      <c r="AAD42" s="72"/>
      <c r="AAE42" s="85"/>
      <c r="AAF42" s="72"/>
      <c r="AAG42" s="72"/>
      <c r="AAH42" s="85"/>
      <c r="AAI42" s="71"/>
      <c r="AAJ42" s="71"/>
      <c r="AAK42" s="72"/>
      <c r="AAL42" s="85"/>
      <c r="AAM42" s="76"/>
      <c r="AAN42" s="76"/>
      <c r="AAO42" s="76"/>
      <c r="AAP42" s="76"/>
      <c r="AAQ42" s="77"/>
      <c r="AAR42" s="86"/>
      <c r="AAS42" s="82"/>
      <c r="AAT42" s="82"/>
      <c r="AAU42" s="82"/>
      <c r="AAV42" s="82"/>
      <c r="AAW42" s="84"/>
      <c r="AAX42" s="84"/>
      <c r="AAY42" s="84"/>
      <c r="AAZ42" s="72"/>
      <c r="ABA42" s="85"/>
      <c r="ABB42" s="72"/>
      <c r="ABC42" s="72"/>
      <c r="ABD42" s="85"/>
      <c r="ABE42" s="71"/>
      <c r="ABF42" s="71"/>
      <c r="ABG42" s="72"/>
      <c r="ABH42" s="85"/>
      <c r="ABI42" s="76"/>
      <c r="ABJ42" s="76"/>
      <c r="ABK42" s="76"/>
      <c r="ABL42" s="76"/>
      <c r="ABM42" s="77"/>
      <c r="ABN42" s="86"/>
      <c r="ABO42" s="82"/>
      <c r="ABP42" s="82"/>
      <c r="ABQ42" s="82"/>
      <c r="ABR42" s="82"/>
      <c r="ABS42" s="84"/>
      <c r="ABT42" s="84"/>
      <c r="ABU42" s="84"/>
      <c r="ABV42" s="72"/>
      <c r="ABW42" s="85"/>
      <c r="ABX42" s="72"/>
      <c r="ABY42" s="72"/>
      <c r="ABZ42" s="85"/>
      <c r="ACA42" s="71"/>
      <c r="ACB42" s="71"/>
      <c r="ACC42" s="72"/>
      <c r="ACD42" s="85"/>
      <c r="ACE42" s="76"/>
      <c r="ACF42" s="76"/>
      <c r="ACG42" s="76"/>
      <c r="ACH42" s="76"/>
      <c r="ACI42" s="77"/>
      <c r="ACJ42" s="86"/>
      <c r="ACK42" s="82"/>
      <c r="ACL42" s="82"/>
      <c r="ACM42" s="82"/>
      <c r="ACN42" s="82"/>
      <c r="ACO42" s="84"/>
      <c r="ACP42" s="84"/>
      <c r="ACQ42" s="84"/>
      <c r="ACR42" s="72"/>
      <c r="ACS42" s="85"/>
      <c r="ACT42" s="72"/>
      <c r="ACU42" s="72"/>
      <c r="ACV42" s="85"/>
      <c r="ACW42" s="71"/>
      <c r="ACX42" s="71"/>
      <c r="ACY42" s="72"/>
      <c r="ACZ42" s="85"/>
      <c r="ADA42" s="76"/>
      <c r="ADB42" s="76"/>
      <c r="ADC42" s="76"/>
      <c r="ADD42" s="76"/>
      <c r="ADE42" s="77"/>
      <c r="ADF42" s="86"/>
      <c r="ADG42" s="82"/>
      <c r="ADH42" s="82"/>
      <c r="ADI42" s="82"/>
      <c r="ADJ42" s="82"/>
      <c r="ADK42" s="84"/>
      <c r="ADL42" s="84"/>
      <c r="ADM42" s="84"/>
      <c r="ADN42" s="72"/>
      <c r="ADO42" s="85"/>
      <c r="ADP42" s="72"/>
      <c r="ADQ42" s="72"/>
      <c r="ADR42" s="85"/>
      <c r="ADS42" s="71"/>
      <c r="ADT42" s="71"/>
      <c r="ADU42" s="72"/>
      <c r="ADV42" s="85"/>
      <c r="ADW42" s="76"/>
      <c r="ADX42" s="76"/>
      <c r="ADY42" s="76"/>
      <c r="ADZ42" s="76"/>
      <c r="AEA42" s="77"/>
      <c r="AEB42" s="86"/>
      <c r="AEC42" s="82"/>
      <c r="AED42" s="82"/>
      <c r="AEE42" s="82"/>
      <c r="AEF42" s="82"/>
      <c r="AEG42" s="84"/>
      <c r="AEH42" s="84"/>
      <c r="AEI42" s="84"/>
      <c r="AEJ42" s="72"/>
      <c r="AEK42" s="85"/>
      <c r="AEL42" s="72"/>
      <c r="AEM42" s="72"/>
      <c r="AEN42" s="85"/>
      <c r="AEO42" s="71"/>
      <c r="AEP42" s="71"/>
      <c r="AEQ42" s="72"/>
      <c r="AER42" s="85"/>
      <c r="AES42" s="76"/>
      <c r="AET42" s="76"/>
      <c r="AEU42" s="76"/>
      <c r="AEV42" s="76"/>
      <c r="AEW42" s="77"/>
      <c r="AEX42" s="86"/>
      <c r="AEY42" s="82"/>
      <c r="AEZ42" s="82"/>
      <c r="AFA42" s="82"/>
      <c r="AFB42" s="82"/>
      <c r="AFC42" s="84"/>
      <c r="AFD42" s="84"/>
      <c r="AFE42" s="84"/>
      <c r="AFF42" s="72"/>
      <c r="AFG42" s="85"/>
      <c r="AFH42" s="72"/>
      <c r="AFI42" s="72"/>
      <c r="AFJ42" s="85"/>
      <c r="AFK42" s="71"/>
      <c r="AFL42" s="71"/>
      <c r="AFM42" s="72"/>
      <c r="AFN42" s="85"/>
      <c r="AFO42" s="76"/>
      <c r="AFP42" s="76"/>
      <c r="AFQ42" s="76"/>
      <c r="AFR42" s="76"/>
      <c r="AFS42" s="77"/>
      <c r="AFT42" s="86"/>
      <c r="AFU42" s="82"/>
      <c r="AFV42" s="82"/>
      <c r="AFW42" s="82"/>
      <c r="AFX42" s="82"/>
      <c r="AFY42" s="84"/>
      <c r="AFZ42" s="84"/>
      <c r="AGA42" s="84"/>
      <c r="AGB42" s="72"/>
      <c r="AGC42" s="85"/>
      <c r="AGD42" s="72"/>
      <c r="AGE42" s="72"/>
      <c r="AGF42" s="85"/>
      <c r="AGG42" s="71"/>
      <c r="AGH42" s="71"/>
      <c r="AGI42" s="72"/>
      <c r="AGJ42" s="85"/>
      <c r="AGK42" s="76"/>
      <c r="AGL42" s="76"/>
      <c r="AGM42" s="76"/>
      <c r="AGN42" s="76"/>
      <c r="AGO42" s="77"/>
      <c r="AGP42" s="86"/>
      <c r="AGQ42" s="82"/>
      <c r="AGR42" s="82"/>
      <c r="AGS42" s="82"/>
      <c r="AGT42" s="82"/>
      <c r="AGU42" s="84"/>
      <c r="AGV42" s="84"/>
      <c r="AGW42" s="84"/>
      <c r="AGX42" s="72"/>
      <c r="AGY42" s="85"/>
      <c r="AGZ42" s="72"/>
      <c r="AHA42" s="72"/>
      <c r="AHB42" s="85"/>
      <c r="AHC42" s="71"/>
      <c r="AHD42" s="71"/>
      <c r="AHE42" s="72"/>
      <c r="AHF42" s="85"/>
      <c r="AHG42" s="76"/>
      <c r="AHH42" s="76"/>
      <c r="AHI42" s="76"/>
      <c r="AHJ42" s="76"/>
      <c r="AHK42" s="77"/>
      <c r="AHL42" s="86"/>
      <c r="AHM42" s="82"/>
      <c r="AHN42" s="82"/>
      <c r="AHO42" s="82"/>
      <c r="AHP42" s="82"/>
      <c r="AHQ42" s="84"/>
      <c r="AHR42" s="84"/>
      <c r="AHS42" s="84"/>
      <c r="AHT42" s="72"/>
      <c r="AHU42" s="85"/>
      <c r="AHV42" s="72"/>
      <c r="AHW42" s="72"/>
      <c r="AHX42" s="85"/>
      <c r="AHY42" s="71"/>
      <c r="AHZ42" s="71"/>
      <c r="AIA42" s="72"/>
      <c r="AIB42" s="85"/>
      <c r="AIC42" s="76"/>
      <c r="AID42" s="76"/>
      <c r="AIE42" s="76"/>
      <c r="AIF42" s="76"/>
      <c r="AIG42" s="77"/>
      <c r="AIH42" s="86"/>
      <c r="AII42" s="82"/>
      <c r="AIJ42" s="82"/>
      <c r="AIK42" s="82"/>
      <c r="AIL42" s="82"/>
      <c r="AIM42" s="84"/>
      <c r="AIN42" s="84"/>
      <c r="AIO42" s="84"/>
      <c r="AIP42" s="72"/>
      <c r="AIQ42" s="85"/>
      <c r="AIR42" s="72"/>
      <c r="AIS42" s="72"/>
      <c r="AIT42" s="85"/>
      <c r="AIU42" s="71"/>
      <c r="AIV42" s="71"/>
      <c r="AIW42" s="72"/>
      <c r="AIX42" s="85"/>
      <c r="AIY42" s="76"/>
      <c r="AIZ42" s="76"/>
      <c r="AJA42" s="76"/>
      <c r="AJB42" s="76"/>
      <c r="AJC42" s="77"/>
      <c r="AJD42" s="86"/>
      <c r="AJE42" s="82"/>
      <c r="AJF42" s="82"/>
      <c r="AJG42" s="82"/>
      <c r="AJH42" s="82"/>
      <c r="AJI42" s="84"/>
      <c r="AJJ42" s="84"/>
      <c r="AJK42" s="84"/>
      <c r="AJL42" s="72"/>
      <c r="AJM42" s="85"/>
      <c r="AJN42" s="72"/>
      <c r="AJO42" s="72"/>
      <c r="AJP42" s="85"/>
      <c r="AJQ42" s="71"/>
      <c r="AJR42" s="71"/>
      <c r="AJS42" s="72"/>
      <c r="AJT42" s="85"/>
      <c r="AJU42" s="76"/>
      <c r="AJV42" s="76"/>
      <c r="AJW42" s="76"/>
      <c r="AJX42" s="76"/>
      <c r="AJY42" s="77"/>
      <c r="AJZ42" s="86"/>
      <c r="AKA42" s="82"/>
      <c r="AKB42" s="82"/>
      <c r="AKC42" s="82"/>
      <c r="AKD42" s="82"/>
      <c r="AKE42" s="84"/>
      <c r="AKF42" s="84"/>
      <c r="AKG42" s="84"/>
      <c r="AKH42" s="72"/>
      <c r="AKI42" s="85"/>
      <c r="AKJ42" s="72"/>
      <c r="AKK42" s="72"/>
      <c r="AKL42" s="85"/>
      <c r="AKM42" s="71"/>
      <c r="AKN42" s="71"/>
      <c r="AKO42" s="72"/>
      <c r="AKP42" s="85"/>
      <c r="AKQ42" s="76"/>
      <c r="AKR42" s="76"/>
      <c r="AKS42" s="76"/>
      <c r="AKT42" s="76"/>
      <c r="AKU42" s="77"/>
      <c r="AKV42" s="86"/>
      <c r="AKW42" s="82"/>
      <c r="AKX42" s="82"/>
      <c r="AKY42" s="82"/>
      <c r="AKZ42" s="82"/>
      <c r="ALA42" s="84"/>
      <c r="ALB42" s="84"/>
      <c r="ALC42" s="84"/>
      <c r="ALD42" s="72"/>
      <c r="ALE42" s="85"/>
      <c r="ALF42" s="72"/>
      <c r="ALG42" s="72"/>
      <c r="ALH42" s="85"/>
      <c r="ALI42" s="71"/>
      <c r="ALJ42" s="71"/>
      <c r="ALK42" s="72"/>
      <c r="ALL42" s="85"/>
      <c r="ALM42" s="76"/>
      <c r="ALN42" s="76"/>
      <c r="ALO42" s="76"/>
      <c r="ALP42" s="76"/>
      <c r="ALQ42" s="77"/>
      <c r="ALR42" s="86"/>
      <c r="ALS42" s="82"/>
      <c r="ALT42" s="82"/>
      <c r="ALU42" s="82"/>
      <c r="ALV42" s="82"/>
      <c r="ALW42" s="84"/>
      <c r="ALX42" s="84"/>
      <c r="ALY42" s="84"/>
      <c r="ALZ42" s="72"/>
      <c r="AMA42" s="85"/>
      <c r="AMB42" s="72"/>
      <c r="AMC42" s="72"/>
      <c r="AMD42" s="85"/>
      <c r="AME42" s="71"/>
      <c r="AMF42" s="71"/>
      <c r="AMG42" s="72"/>
      <c r="AMH42" s="85"/>
      <c r="AMI42" s="76"/>
      <c r="AMJ42" s="76"/>
      <c r="AMK42" s="76"/>
      <c r="AML42" s="76"/>
      <c r="AMM42" s="77"/>
      <c r="AMN42" s="86"/>
      <c r="AMO42" s="82"/>
      <c r="AMP42" s="82"/>
      <c r="AMQ42" s="82"/>
      <c r="AMR42" s="82"/>
      <c r="AMS42" s="84"/>
      <c r="AMT42" s="84"/>
      <c r="AMU42" s="84"/>
      <c r="AMV42" s="72"/>
      <c r="AMW42" s="85"/>
      <c r="AMX42" s="72"/>
      <c r="AMY42" s="72"/>
      <c r="AMZ42" s="85"/>
      <c r="ANA42" s="71"/>
      <c r="ANB42" s="71"/>
      <c r="ANC42" s="72"/>
      <c r="AND42" s="85"/>
      <c r="ANE42" s="76"/>
      <c r="ANF42" s="76"/>
      <c r="ANG42" s="76"/>
      <c r="ANH42" s="76"/>
      <c r="ANI42" s="77"/>
      <c r="ANJ42" s="86"/>
      <c r="ANK42" s="82"/>
      <c r="ANL42" s="82"/>
      <c r="ANM42" s="82"/>
      <c r="ANN42" s="82"/>
      <c r="ANO42" s="84"/>
      <c r="ANP42" s="84"/>
      <c r="ANQ42" s="84"/>
      <c r="ANR42" s="72"/>
      <c r="ANS42" s="85"/>
      <c r="ANT42" s="72"/>
      <c r="ANU42" s="72"/>
      <c r="ANV42" s="85"/>
      <c r="ANW42" s="71"/>
      <c r="ANX42" s="71"/>
      <c r="ANY42" s="72"/>
      <c r="ANZ42" s="85"/>
      <c r="AOA42" s="76"/>
      <c r="AOB42" s="76"/>
      <c r="AOC42" s="76"/>
      <c r="AOD42" s="76"/>
      <c r="AOE42" s="77"/>
      <c r="AOF42" s="86"/>
      <c r="AOG42" s="82"/>
      <c r="AOH42" s="82"/>
      <c r="AOI42" s="82"/>
      <c r="AOJ42" s="82"/>
      <c r="AOK42" s="84"/>
      <c r="AOL42" s="84"/>
      <c r="AOM42" s="84"/>
      <c r="AON42" s="72"/>
      <c r="AOO42" s="85"/>
      <c r="AOP42" s="72"/>
      <c r="AOQ42" s="72"/>
      <c r="AOR42" s="85"/>
      <c r="AOS42" s="71"/>
      <c r="AOT42" s="71"/>
      <c r="AOU42" s="72"/>
      <c r="AOV42" s="85"/>
      <c r="AOW42" s="76"/>
      <c r="AOX42" s="76"/>
      <c r="AOY42" s="76"/>
      <c r="AOZ42" s="76"/>
      <c r="APA42" s="77"/>
      <c r="APB42" s="86"/>
      <c r="APC42" s="82"/>
      <c r="APD42" s="82"/>
      <c r="APE42" s="82"/>
      <c r="APF42" s="82"/>
      <c r="APG42" s="84"/>
      <c r="APH42" s="84"/>
      <c r="API42" s="84"/>
      <c r="APJ42" s="72"/>
      <c r="APK42" s="85"/>
      <c r="APL42" s="72"/>
      <c r="APM42" s="72"/>
      <c r="APN42" s="85"/>
      <c r="APO42" s="71"/>
      <c r="APP42" s="71"/>
      <c r="APQ42" s="72"/>
      <c r="APR42" s="85"/>
      <c r="APS42" s="76"/>
      <c r="APT42" s="76"/>
      <c r="APU42" s="76"/>
      <c r="APV42" s="76"/>
      <c r="APW42" s="77"/>
      <c r="APX42" s="86"/>
      <c r="APY42" s="82"/>
      <c r="APZ42" s="82"/>
      <c r="AQA42" s="82"/>
      <c r="AQB42" s="82"/>
      <c r="AQC42" s="84"/>
      <c r="AQD42" s="84"/>
      <c r="AQE42" s="84"/>
      <c r="AQF42" s="72"/>
      <c r="AQG42" s="85"/>
      <c r="AQH42" s="72"/>
      <c r="AQI42" s="72"/>
      <c r="AQJ42" s="85"/>
      <c r="AQK42" s="71"/>
      <c r="AQL42" s="71"/>
      <c r="AQM42" s="72"/>
      <c r="AQN42" s="85"/>
      <c r="AQO42" s="76"/>
      <c r="AQP42" s="76"/>
      <c r="AQQ42" s="76"/>
      <c r="AQR42" s="76"/>
      <c r="AQS42" s="77"/>
      <c r="AQT42" s="86"/>
      <c r="AQU42" s="82"/>
      <c r="AQV42" s="82"/>
      <c r="AQW42" s="82"/>
      <c r="AQX42" s="82"/>
      <c r="AQY42" s="84"/>
      <c r="AQZ42" s="84"/>
      <c r="ARA42" s="84"/>
      <c r="ARB42" s="72"/>
      <c r="ARC42" s="85"/>
      <c r="ARD42" s="72"/>
      <c r="ARE42" s="72"/>
      <c r="ARF42" s="85"/>
      <c r="ARG42" s="71"/>
      <c r="ARH42" s="71"/>
      <c r="ARI42" s="72"/>
      <c r="ARJ42" s="85"/>
      <c r="ARK42" s="76"/>
      <c r="ARL42" s="76"/>
      <c r="ARM42" s="76"/>
      <c r="ARN42" s="76"/>
      <c r="ARO42" s="77"/>
      <c r="ARP42" s="86"/>
      <c r="ARQ42" s="82"/>
      <c r="ARR42" s="82"/>
      <c r="ARS42" s="82"/>
      <c r="ART42" s="82"/>
      <c r="ARU42" s="84"/>
      <c r="ARV42" s="84"/>
      <c r="ARW42" s="84"/>
      <c r="ARX42" s="72"/>
      <c r="ARY42" s="85"/>
      <c r="ARZ42" s="72"/>
      <c r="ASA42" s="72"/>
      <c r="ASB42" s="85"/>
      <c r="ASC42" s="71"/>
      <c r="ASD42" s="71"/>
      <c r="ASE42" s="72"/>
      <c r="ASF42" s="85"/>
      <c r="ASG42" s="76"/>
      <c r="ASH42" s="76"/>
      <c r="ASI42" s="76"/>
      <c r="ASJ42" s="76"/>
      <c r="ASK42" s="77"/>
      <c r="ASL42" s="86"/>
      <c r="ASM42" s="82"/>
      <c r="ASN42" s="82"/>
      <c r="ASO42" s="82"/>
      <c r="ASP42" s="82"/>
      <c r="ASQ42" s="84"/>
      <c r="ASR42" s="84"/>
      <c r="ASS42" s="84"/>
      <c r="AST42" s="72"/>
      <c r="ASU42" s="85"/>
      <c r="ASV42" s="72"/>
      <c r="ASW42" s="72"/>
      <c r="ASX42" s="85"/>
      <c r="ASY42" s="71"/>
      <c r="ASZ42" s="71"/>
      <c r="ATA42" s="72"/>
      <c r="ATB42" s="85"/>
      <c r="ATC42" s="76"/>
      <c r="ATD42" s="76"/>
      <c r="ATE42" s="76"/>
      <c r="ATF42" s="76"/>
      <c r="ATG42" s="77"/>
      <c r="ATH42" s="86"/>
      <c r="ATI42" s="82"/>
      <c r="ATJ42" s="82"/>
      <c r="ATK42" s="82"/>
      <c r="ATL42" s="82"/>
      <c r="ATM42" s="84"/>
      <c r="ATN42" s="84"/>
      <c r="ATO42" s="84"/>
      <c r="ATP42" s="72"/>
      <c r="ATQ42" s="85"/>
      <c r="ATR42" s="72"/>
      <c r="ATS42" s="72"/>
      <c r="ATT42" s="85"/>
      <c r="ATU42" s="71"/>
      <c r="ATV42" s="71"/>
      <c r="ATW42" s="72"/>
      <c r="ATX42" s="85"/>
      <c r="ATY42" s="76"/>
      <c r="ATZ42" s="76"/>
      <c r="AUA42" s="76"/>
      <c r="AUB42" s="76"/>
      <c r="AUC42" s="77"/>
      <c r="AUD42" s="86"/>
      <c r="AUE42" s="82"/>
      <c r="AUF42" s="82"/>
      <c r="AUG42" s="82"/>
      <c r="AUH42" s="82"/>
      <c r="AUI42" s="84"/>
      <c r="AUJ42" s="84"/>
      <c r="AUK42" s="84"/>
      <c r="AUL42" s="72"/>
      <c r="AUM42" s="85"/>
      <c r="AUN42" s="72"/>
      <c r="AUO42" s="72"/>
      <c r="AUP42" s="85"/>
      <c r="AUQ42" s="71"/>
      <c r="AUR42" s="71"/>
      <c r="AUS42" s="72"/>
      <c r="AUT42" s="85"/>
      <c r="AUU42" s="76"/>
      <c r="AUV42" s="76"/>
      <c r="AUW42" s="76"/>
      <c r="AUX42" s="76"/>
      <c r="AUY42" s="77"/>
      <c r="AUZ42" s="86"/>
      <c r="AVA42" s="82"/>
      <c r="AVB42" s="82"/>
      <c r="AVC42" s="82"/>
      <c r="AVD42" s="82"/>
      <c r="AVE42" s="84"/>
      <c r="AVF42" s="84"/>
      <c r="AVG42" s="84"/>
      <c r="AVH42" s="72"/>
      <c r="AVI42" s="85"/>
      <c r="AVJ42" s="72"/>
      <c r="AVK42" s="72"/>
      <c r="AVL42" s="85"/>
      <c r="AVM42" s="71"/>
      <c r="AVN42" s="71"/>
      <c r="AVO42" s="72"/>
      <c r="AVP42" s="85"/>
      <c r="AVQ42" s="76"/>
      <c r="AVR42" s="76"/>
      <c r="AVS42" s="76"/>
      <c r="AVT42" s="76"/>
      <c r="AVU42" s="77"/>
      <c r="AVV42" s="86"/>
      <c r="AVW42" s="82"/>
      <c r="AVX42" s="82"/>
      <c r="AVY42" s="82"/>
      <c r="AVZ42" s="82"/>
      <c r="AWA42" s="84"/>
      <c r="AWB42" s="84"/>
      <c r="AWC42" s="84"/>
      <c r="AWD42" s="72"/>
      <c r="AWE42" s="85"/>
      <c r="AWF42" s="72"/>
      <c r="AWG42" s="72"/>
      <c r="AWH42" s="85"/>
      <c r="AWI42" s="71"/>
      <c r="AWJ42" s="71"/>
      <c r="AWK42" s="72"/>
      <c r="AWL42" s="85"/>
      <c r="AWM42" s="76"/>
      <c r="AWN42" s="76"/>
      <c r="AWO42" s="76"/>
      <c r="AWP42" s="76"/>
      <c r="AWQ42" s="77"/>
      <c r="AWR42" s="86"/>
      <c r="AWS42" s="82"/>
      <c r="AWT42" s="82"/>
      <c r="AWU42" s="82"/>
      <c r="AWV42" s="82"/>
      <c r="AWW42" s="84"/>
      <c r="AWX42" s="84"/>
      <c r="AWY42" s="84"/>
      <c r="AWZ42" s="72"/>
      <c r="AXA42" s="85"/>
      <c r="AXB42" s="72"/>
      <c r="AXC42" s="72"/>
      <c r="AXD42" s="85"/>
      <c r="AXE42" s="71"/>
      <c r="AXF42" s="71"/>
      <c r="AXG42" s="72"/>
      <c r="AXH42" s="85"/>
      <c r="AXI42" s="76"/>
      <c r="AXJ42" s="76"/>
      <c r="AXK42" s="76"/>
      <c r="AXL42" s="76"/>
      <c r="AXM42" s="77"/>
      <c r="AXN42" s="86"/>
      <c r="AXO42" s="82"/>
      <c r="AXP42" s="82"/>
      <c r="AXQ42" s="82"/>
      <c r="AXR42" s="82"/>
      <c r="AXS42" s="84"/>
      <c r="AXT42" s="84"/>
      <c r="AXU42" s="84"/>
      <c r="AXV42" s="72"/>
      <c r="AXW42" s="85"/>
      <c r="AXX42" s="72"/>
      <c r="AXY42" s="72"/>
      <c r="AXZ42" s="85"/>
      <c r="AYA42" s="71"/>
      <c r="AYB42" s="71"/>
      <c r="AYC42" s="72"/>
      <c r="AYD42" s="85"/>
      <c r="AYE42" s="76"/>
      <c r="AYF42" s="76"/>
      <c r="AYG42" s="76"/>
      <c r="AYH42" s="76"/>
      <c r="AYI42" s="77"/>
      <c r="AYJ42" s="86"/>
      <c r="AYK42" s="82"/>
      <c r="AYL42" s="82"/>
      <c r="AYM42" s="82"/>
      <c r="AYN42" s="82"/>
      <c r="AYO42" s="84"/>
      <c r="AYP42" s="84"/>
      <c r="AYQ42" s="84"/>
      <c r="AYR42" s="72"/>
      <c r="AYS42" s="85"/>
      <c r="AYT42" s="72"/>
      <c r="AYU42" s="72"/>
      <c r="AYV42" s="85"/>
      <c r="AYW42" s="71"/>
      <c r="AYX42" s="71"/>
      <c r="AYY42" s="72"/>
      <c r="AYZ42" s="85"/>
      <c r="AZA42" s="76"/>
      <c r="AZB42" s="76"/>
      <c r="AZC42" s="76"/>
      <c r="AZD42" s="76"/>
      <c r="AZE42" s="77"/>
      <c r="AZF42" s="86"/>
      <c r="AZG42" s="82"/>
      <c r="AZH42" s="82"/>
      <c r="AZI42" s="82"/>
      <c r="AZJ42" s="82"/>
      <c r="AZK42" s="84"/>
      <c r="AZL42" s="84"/>
      <c r="AZM42" s="84"/>
      <c r="AZN42" s="72"/>
      <c r="AZO42" s="85"/>
      <c r="AZP42" s="72"/>
      <c r="AZQ42" s="72"/>
      <c r="AZR42" s="85"/>
      <c r="AZS42" s="71"/>
      <c r="AZT42" s="71"/>
      <c r="AZU42" s="72"/>
      <c r="AZV42" s="85"/>
      <c r="AZW42" s="76"/>
      <c r="AZX42" s="76"/>
      <c r="AZY42" s="76"/>
      <c r="AZZ42" s="76"/>
      <c r="BAA42" s="77"/>
      <c r="BAB42" s="86"/>
      <c r="BAC42" s="82"/>
      <c r="BAD42" s="82"/>
      <c r="BAE42" s="82"/>
      <c r="BAF42" s="82"/>
      <c r="BAG42" s="84"/>
      <c r="BAH42" s="84"/>
      <c r="BAI42" s="84"/>
      <c r="BAJ42" s="72"/>
      <c r="BAK42" s="85"/>
      <c r="BAL42" s="72"/>
      <c r="BAM42" s="72"/>
      <c r="BAN42" s="85"/>
      <c r="BAO42" s="71"/>
      <c r="BAP42" s="71"/>
      <c r="BAQ42" s="72"/>
      <c r="BAR42" s="85"/>
      <c r="BAS42" s="76"/>
      <c r="BAT42" s="76"/>
      <c r="BAU42" s="76"/>
      <c r="BAV42" s="76"/>
      <c r="BAW42" s="77"/>
      <c r="BAX42" s="86"/>
      <c r="BAY42" s="82"/>
      <c r="BAZ42" s="82"/>
      <c r="BBA42" s="82"/>
      <c r="BBB42" s="82"/>
      <c r="BBC42" s="84"/>
      <c r="BBD42" s="84"/>
      <c r="BBE42" s="84"/>
      <c r="BBF42" s="72"/>
      <c r="BBG42" s="85"/>
      <c r="BBH42" s="72"/>
      <c r="BBI42" s="72"/>
      <c r="BBJ42" s="85"/>
      <c r="BBK42" s="71"/>
      <c r="BBL42" s="71"/>
      <c r="BBM42" s="72"/>
      <c r="BBN42" s="85"/>
      <c r="BBO42" s="76"/>
      <c r="BBP42" s="76"/>
      <c r="BBQ42" s="76"/>
      <c r="BBR42" s="76"/>
      <c r="BBS42" s="77"/>
      <c r="BBT42" s="86"/>
      <c r="BBU42" s="82"/>
      <c r="BBV42" s="82"/>
      <c r="BBW42" s="82"/>
      <c r="BBX42" s="82"/>
      <c r="BBY42" s="84"/>
      <c r="BBZ42" s="84"/>
      <c r="BCA42" s="84"/>
      <c r="BCB42" s="72"/>
      <c r="BCC42" s="85"/>
      <c r="BCD42" s="72"/>
      <c r="BCE42" s="72"/>
      <c r="BCF42" s="85"/>
      <c r="BCG42" s="71"/>
      <c r="BCH42" s="71"/>
      <c r="BCI42" s="72"/>
      <c r="BCJ42" s="85"/>
      <c r="BCK42" s="76"/>
      <c r="BCL42" s="76"/>
      <c r="BCM42" s="76"/>
      <c r="BCN42" s="76"/>
      <c r="BCO42" s="77"/>
      <c r="BCP42" s="86"/>
      <c r="BCQ42" s="82"/>
      <c r="BCR42" s="82"/>
      <c r="BCS42" s="82"/>
      <c r="BCT42" s="82"/>
      <c r="BCU42" s="84"/>
      <c r="BCV42" s="84"/>
      <c r="BCW42" s="84"/>
      <c r="BCX42" s="72"/>
      <c r="BCY42" s="85"/>
      <c r="BCZ42" s="72"/>
      <c r="BDA42" s="72"/>
      <c r="BDB42" s="85"/>
      <c r="BDC42" s="71"/>
      <c r="BDD42" s="71"/>
      <c r="BDE42" s="72"/>
      <c r="BDF42" s="85"/>
      <c r="BDG42" s="76"/>
      <c r="BDH42" s="76"/>
      <c r="BDI42" s="76"/>
      <c r="BDJ42" s="76"/>
      <c r="BDK42" s="77"/>
      <c r="BDL42" s="86"/>
      <c r="BDM42" s="82"/>
      <c r="BDN42" s="82"/>
      <c r="BDO42" s="82"/>
      <c r="BDP42" s="82"/>
      <c r="BDQ42" s="84"/>
      <c r="BDR42" s="84"/>
      <c r="BDS42" s="84"/>
      <c r="BDT42" s="72"/>
      <c r="BDU42" s="85"/>
      <c r="BDV42" s="72"/>
      <c r="BDW42" s="72"/>
      <c r="BDX42" s="85"/>
      <c r="BDY42" s="71"/>
      <c r="BDZ42" s="71"/>
      <c r="BEA42" s="72"/>
      <c r="BEB42" s="85"/>
      <c r="BEC42" s="76"/>
      <c r="BED42" s="76"/>
      <c r="BEE42" s="76"/>
      <c r="BEF42" s="76"/>
      <c r="BEG42" s="77"/>
      <c r="BEH42" s="86"/>
      <c r="BEI42" s="82"/>
      <c r="BEJ42" s="82"/>
      <c r="BEK42" s="82"/>
      <c r="BEL42" s="82"/>
      <c r="BEM42" s="84"/>
      <c r="BEN42" s="84"/>
      <c r="BEO42" s="84"/>
      <c r="BEP42" s="72"/>
      <c r="BEQ42" s="85"/>
      <c r="BER42" s="72"/>
      <c r="BES42" s="72"/>
      <c r="BET42" s="85"/>
      <c r="BEU42" s="71"/>
      <c r="BEV42" s="71"/>
      <c r="BEW42" s="72"/>
      <c r="BEX42" s="85"/>
      <c r="BEY42" s="76"/>
      <c r="BEZ42" s="76"/>
      <c r="BFA42" s="76"/>
      <c r="BFB42" s="76"/>
      <c r="BFC42" s="77"/>
      <c r="BFD42" s="86"/>
      <c r="BFE42" s="82"/>
      <c r="BFF42" s="82"/>
      <c r="BFG42" s="82"/>
      <c r="BFH42" s="82"/>
      <c r="BFI42" s="84"/>
      <c r="BFJ42" s="84"/>
      <c r="BFK42" s="84"/>
      <c r="BFL42" s="72"/>
      <c r="BFM42" s="85"/>
      <c r="BFN42" s="72"/>
      <c r="BFO42" s="72"/>
      <c r="BFP42" s="85"/>
      <c r="BFQ42" s="71"/>
      <c r="BFR42" s="71"/>
      <c r="BFS42" s="72"/>
      <c r="BFT42" s="85"/>
      <c r="BFU42" s="76"/>
      <c r="BFV42" s="76"/>
      <c r="BFW42" s="76"/>
      <c r="BFX42" s="76"/>
      <c r="BFY42" s="77"/>
      <c r="BFZ42" s="86"/>
      <c r="BGA42" s="82"/>
      <c r="BGB42" s="82"/>
      <c r="BGC42" s="82"/>
      <c r="BGD42" s="82"/>
      <c r="BGE42" s="84"/>
      <c r="BGF42" s="84"/>
      <c r="BGG42" s="84"/>
      <c r="BGH42" s="72"/>
      <c r="BGI42" s="85"/>
      <c r="BGJ42" s="72"/>
      <c r="BGK42" s="72"/>
      <c r="BGL42" s="85"/>
      <c r="BGM42" s="71"/>
      <c r="BGN42" s="71"/>
      <c r="BGO42" s="72"/>
      <c r="BGP42" s="85"/>
      <c r="BGQ42" s="76"/>
      <c r="BGR42" s="76"/>
      <c r="BGS42" s="76"/>
      <c r="BGT42" s="76"/>
      <c r="BGU42" s="77"/>
      <c r="BGV42" s="86"/>
      <c r="BGW42" s="82"/>
      <c r="BGX42" s="82"/>
      <c r="BGY42" s="82"/>
      <c r="BGZ42" s="82"/>
      <c r="BHA42" s="84"/>
      <c r="BHB42" s="84"/>
      <c r="BHC42" s="84"/>
      <c r="BHD42" s="72"/>
      <c r="BHE42" s="85"/>
      <c r="BHF42" s="72"/>
      <c r="BHG42" s="72"/>
      <c r="BHH42" s="85"/>
      <c r="BHI42" s="71"/>
      <c r="BHJ42" s="71"/>
      <c r="BHK42" s="72"/>
      <c r="BHL42" s="85"/>
      <c r="BHM42" s="76"/>
      <c r="BHN42" s="76"/>
      <c r="BHO42" s="76"/>
      <c r="BHP42" s="76"/>
      <c r="BHQ42" s="77"/>
      <c r="BHR42" s="86"/>
      <c r="BHS42" s="82"/>
      <c r="BHT42" s="82"/>
      <c r="BHU42" s="82"/>
      <c r="BHV42" s="82"/>
      <c r="BHW42" s="84"/>
      <c r="BHX42" s="84"/>
      <c r="BHY42" s="84"/>
      <c r="BHZ42" s="72"/>
      <c r="BIA42" s="85"/>
      <c r="BIB42" s="72"/>
      <c r="BIC42" s="72"/>
      <c r="BID42" s="85"/>
      <c r="BIE42" s="71"/>
      <c r="BIF42" s="71"/>
      <c r="BIG42" s="72"/>
      <c r="BIH42" s="85"/>
      <c r="BII42" s="76"/>
      <c r="BIJ42" s="76"/>
      <c r="BIK42" s="76"/>
      <c r="BIL42" s="76"/>
      <c r="BIM42" s="77"/>
      <c r="BIN42" s="86"/>
      <c r="BIO42" s="82"/>
      <c r="BIP42" s="82"/>
      <c r="BIQ42" s="82"/>
      <c r="BIR42" s="82"/>
      <c r="BIS42" s="84"/>
      <c r="BIT42" s="84"/>
      <c r="BIU42" s="84"/>
      <c r="BIV42" s="72"/>
      <c r="BIW42" s="85"/>
      <c r="BIX42" s="72"/>
      <c r="BIY42" s="72"/>
      <c r="BIZ42" s="85"/>
      <c r="BJA42" s="71"/>
      <c r="BJB42" s="71"/>
      <c r="BJC42" s="72"/>
      <c r="BJD42" s="85"/>
      <c r="BJE42" s="76"/>
      <c r="BJF42" s="76"/>
      <c r="BJG42" s="76"/>
      <c r="BJH42" s="76"/>
      <c r="BJI42" s="77"/>
      <c r="BJJ42" s="86"/>
      <c r="BJK42" s="82"/>
      <c r="BJL42" s="82"/>
      <c r="BJM42" s="82"/>
      <c r="BJN42" s="82"/>
      <c r="BJO42" s="84"/>
      <c r="BJP42" s="84"/>
      <c r="BJQ42" s="84"/>
      <c r="BJR42" s="72"/>
      <c r="BJS42" s="85"/>
      <c r="BJT42" s="72"/>
      <c r="BJU42" s="72"/>
      <c r="BJV42" s="85"/>
      <c r="BJW42" s="71"/>
      <c r="BJX42" s="71"/>
      <c r="BJY42" s="72"/>
      <c r="BJZ42" s="85"/>
      <c r="BKA42" s="76"/>
      <c r="BKB42" s="76"/>
      <c r="BKC42" s="76"/>
      <c r="BKD42" s="76"/>
      <c r="BKE42" s="77"/>
      <c r="BKF42" s="86"/>
      <c r="BKG42" s="82"/>
      <c r="BKH42" s="82"/>
      <c r="BKI42" s="82"/>
      <c r="BKJ42" s="82"/>
      <c r="BKK42" s="84"/>
      <c r="BKL42" s="84"/>
      <c r="BKM42" s="84"/>
      <c r="BKN42" s="72"/>
      <c r="BKO42" s="85"/>
      <c r="BKP42" s="72"/>
      <c r="BKQ42" s="72"/>
      <c r="BKR42" s="85"/>
      <c r="BKS42" s="71"/>
      <c r="BKT42" s="71"/>
      <c r="BKU42" s="72"/>
      <c r="BKV42" s="85"/>
      <c r="BKW42" s="76"/>
      <c r="BKX42" s="76"/>
      <c r="BKY42" s="76"/>
      <c r="BKZ42" s="76"/>
      <c r="BLA42" s="77"/>
      <c r="BLB42" s="86"/>
      <c r="BLC42" s="82"/>
      <c r="BLD42" s="82"/>
      <c r="BLE42" s="82"/>
      <c r="BLF42" s="82"/>
      <c r="BLG42" s="84"/>
      <c r="BLH42" s="84"/>
      <c r="BLI42" s="84"/>
      <c r="BLJ42" s="72"/>
      <c r="BLK42" s="85"/>
      <c r="BLL42" s="72"/>
      <c r="BLM42" s="72"/>
      <c r="BLN42" s="85"/>
      <c r="BLO42" s="71"/>
      <c r="BLP42" s="71"/>
      <c r="BLQ42" s="72"/>
      <c r="BLR42" s="85"/>
      <c r="BLS42" s="76"/>
      <c r="BLT42" s="76"/>
      <c r="BLU42" s="76"/>
      <c r="BLV42" s="76"/>
      <c r="BLW42" s="77"/>
      <c r="BLX42" s="86"/>
      <c r="BLY42" s="82"/>
      <c r="BLZ42" s="82"/>
      <c r="BMA42" s="82"/>
      <c r="BMB42" s="82"/>
      <c r="BMC42" s="84"/>
      <c r="BMD42" s="84"/>
      <c r="BME42" s="84"/>
      <c r="BMF42" s="72"/>
      <c r="BMG42" s="85"/>
      <c r="BMH42" s="72"/>
      <c r="BMI42" s="72"/>
      <c r="BMJ42" s="85"/>
      <c r="BMK42" s="71"/>
      <c r="BML42" s="71"/>
      <c r="BMM42" s="72"/>
      <c r="BMN42" s="85"/>
      <c r="BMO42" s="76"/>
      <c r="BMP42" s="76"/>
      <c r="BMQ42" s="76"/>
      <c r="BMR42" s="76"/>
      <c r="BMS42" s="77"/>
      <c r="BMT42" s="86"/>
      <c r="BMU42" s="82"/>
      <c r="BMV42" s="82"/>
      <c r="BMW42" s="82"/>
      <c r="BMX42" s="82"/>
      <c r="BMY42" s="84"/>
      <c r="BMZ42" s="84"/>
      <c r="BNA42" s="84"/>
      <c r="BNB42" s="72"/>
      <c r="BNC42" s="85"/>
      <c r="BND42" s="72"/>
      <c r="BNE42" s="72"/>
      <c r="BNF42" s="85"/>
      <c r="BNG42" s="71"/>
      <c r="BNH42" s="71"/>
      <c r="BNI42" s="72"/>
      <c r="BNJ42" s="85"/>
      <c r="BNK42" s="76"/>
      <c r="BNL42" s="76"/>
      <c r="BNM42" s="76"/>
      <c r="BNN42" s="76"/>
      <c r="BNO42" s="77"/>
      <c r="BNP42" s="86"/>
      <c r="BNQ42" s="82"/>
      <c r="BNR42" s="82"/>
      <c r="BNS42" s="82"/>
      <c r="BNT42" s="82"/>
      <c r="BNU42" s="84"/>
      <c r="BNV42" s="84"/>
      <c r="BNW42" s="84"/>
      <c r="BNX42" s="72"/>
      <c r="BNY42" s="85"/>
      <c r="BNZ42" s="72"/>
      <c r="BOA42" s="72"/>
      <c r="BOB42" s="85"/>
      <c r="BOC42" s="71"/>
      <c r="BOD42" s="71"/>
      <c r="BOE42" s="72"/>
      <c r="BOF42" s="85"/>
      <c r="BOG42" s="76"/>
      <c r="BOH42" s="76"/>
      <c r="BOI42" s="76"/>
      <c r="BOJ42" s="76"/>
      <c r="BOK42" s="77"/>
      <c r="BOL42" s="86"/>
      <c r="BOM42" s="82"/>
      <c r="BON42" s="82"/>
      <c r="BOO42" s="82"/>
      <c r="BOP42" s="82"/>
      <c r="BOQ42" s="84"/>
      <c r="BOR42" s="84"/>
      <c r="BOS42" s="84"/>
      <c r="BOT42" s="72"/>
      <c r="BOU42" s="85"/>
      <c r="BOV42" s="72"/>
      <c r="BOW42" s="72"/>
      <c r="BOX42" s="85"/>
      <c r="BOY42" s="71"/>
      <c r="BOZ42" s="71"/>
      <c r="BPA42" s="72"/>
      <c r="BPB42" s="85"/>
      <c r="BPC42" s="76"/>
      <c r="BPD42" s="76"/>
      <c r="BPE42" s="76"/>
      <c r="BPF42" s="76"/>
      <c r="BPG42" s="77"/>
      <c r="BPH42" s="86"/>
      <c r="BPI42" s="82"/>
      <c r="BPJ42" s="82"/>
      <c r="BPK42" s="82"/>
      <c r="BPL42" s="82"/>
      <c r="BPM42" s="84"/>
      <c r="BPN42" s="84"/>
      <c r="BPO42" s="84"/>
      <c r="BPP42" s="72"/>
      <c r="BPQ42" s="85"/>
      <c r="BPR42" s="72"/>
      <c r="BPS42" s="72"/>
      <c r="BPT42" s="85"/>
      <c r="BPU42" s="71"/>
      <c r="BPV42" s="71"/>
      <c r="BPW42" s="72"/>
      <c r="BPX42" s="85"/>
      <c r="BPY42" s="76"/>
      <c r="BPZ42" s="76"/>
      <c r="BQA42" s="76"/>
      <c r="BQB42" s="76"/>
      <c r="BQC42" s="77"/>
      <c r="BQD42" s="86"/>
      <c r="BQE42" s="82"/>
      <c r="BQF42" s="82"/>
      <c r="BQG42" s="82"/>
      <c r="BQH42" s="82"/>
      <c r="BQI42" s="84"/>
      <c r="BQJ42" s="84"/>
      <c r="BQK42" s="84"/>
      <c r="BQL42" s="72"/>
      <c r="BQM42" s="85"/>
      <c r="BQN42" s="72"/>
      <c r="BQO42" s="72"/>
      <c r="BQP42" s="85"/>
      <c r="BQQ42" s="71"/>
      <c r="BQR42" s="71"/>
      <c r="BQS42" s="72"/>
      <c r="BQT42" s="85"/>
      <c r="BQU42" s="76"/>
      <c r="BQV42" s="76"/>
      <c r="BQW42" s="76"/>
      <c r="BQX42" s="76"/>
      <c r="BQY42" s="77"/>
      <c r="BQZ42" s="86"/>
      <c r="BRA42" s="82"/>
      <c r="BRB42" s="82"/>
      <c r="BRC42" s="82"/>
      <c r="BRD42" s="82"/>
      <c r="BRE42" s="84"/>
      <c r="BRF42" s="84"/>
      <c r="BRG42" s="84"/>
      <c r="BRH42" s="72"/>
      <c r="BRI42" s="85"/>
      <c r="BRJ42" s="72"/>
      <c r="BRK42" s="72"/>
      <c r="BRL42" s="85"/>
      <c r="BRM42" s="71"/>
      <c r="BRN42" s="71"/>
      <c r="BRO42" s="72"/>
      <c r="BRP42" s="85"/>
      <c r="BRQ42" s="76"/>
      <c r="BRR42" s="76"/>
      <c r="BRS42" s="76"/>
      <c r="BRT42" s="76"/>
      <c r="BRU42" s="77"/>
      <c r="BRV42" s="86"/>
      <c r="BRW42" s="82"/>
      <c r="BRX42" s="82"/>
      <c r="BRY42" s="82"/>
      <c r="BRZ42" s="82"/>
      <c r="BSA42" s="84"/>
      <c r="BSB42" s="84"/>
      <c r="BSC42" s="84"/>
      <c r="BSD42" s="72"/>
      <c r="BSE42" s="85"/>
      <c r="BSF42" s="72"/>
      <c r="BSG42" s="72"/>
      <c r="BSH42" s="85"/>
      <c r="BSI42" s="71"/>
      <c r="BSJ42" s="71"/>
      <c r="BSK42" s="72"/>
      <c r="BSL42" s="85"/>
      <c r="BSM42" s="76"/>
      <c r="BSN42" s="76"/>
      <c r="BSO42" s="76"/>
      <c r="BSP42" s="76"/>
      <c r="BSQ42" s="77"/>
      <c r="BSR42" s="86"/>
      <c r="BSS42" s="82"/>
      <c r="BST42" s="82"/>
      <c r="BSU42" s="82"/>
      <c r="BSV42" s="82"/>
      <c r="BSW42" s="84"/>
      <c r="BSX42" s="84"/>
      <c r="BSY42" s="84"/>
      <c r="BSZ42" s="72"/>
      <c r="BTA42" s="85"/>
      <c r="BTB42" s="72"/>
      <c r="BTC42" s="72"/>
      <c r="BTD42" s="85"/>
      <c r="BTE42" s="71"/>
      <c r="BTF42" s="71"/>
      <c r="BTG42" s="72"/>
      <c r="BTH42" s="85"/>
      <c r="BTI42" s="76"/>
      <c r="BTJ42" s="76"/>
      <c r="BTK42" s="76"/>
      <c r="BTL42" s="76"/>
      <c r="BTM42" s="77"/>
      <c r="BTN42" s="86"/>
      <c r="BTO42" s="82"/>
      <c r="BTP42" s="82"/>
      <c r="BTQ42" s="82"/>
      <c r="BTR42" s="82"/>
      <c r="BTS42" s="84"/>
      <c r="BTT42" s="84"/>
      <c r="BTU42" s="84"/>
      <c r="BTV42" s="72"/>
      <c r="BTW42" s="85"/>
      <c r="BTX42" s="72"/>
      <c r="BTY42" s="72"/>
      <c r="BTZ42" s="85"/>
      <c r="BUA42" s="71"/>
      <c r="BUB42" s="71"/>
      <c r="BUC42" s="72"/>
      <c r="BUD42" s="85"/>
      <c r="BUE42" s="76"/>
      <c r="BUF42" s="76"/>
      <c r="BUG42" s="76"/>
      <c r="BUH42" s="76"/>
      <c r="BUI42" s="77"/>
      <c r="BUJ42" s="86"/>
      <c r="BUK42" s="82"/>
      <c r="BUL42" s="82"/>
      <c r="BUM42" s="82"/>
      <c r="BUN42" s="82"/>
      <c r="BUO42" s="84"/>
      <c r="BUP42" s="84"/>
      <c r="BUQ42" s="84"/>
      <c r="BUR42" s="72"/>
      <c r="BUS42" s="85"/>
      <c r="BUT42" s="72"/>
      <c r="BUU42" s="72"/>
      <c r="BUV42" s="85"/>
      <c r="BUW42" s="71"/>
      <c r="BUX42" s="71"/>
      <c r="BUY42" s="72"/>
      <c r="BUZ42" s="85"/>
      <c r="BVA42" s="76"/>
      <c r="BVB42" s="76"/>
      <c r="BVC42" s="76"/>
      <c r="BVD42" s="76"/>
      <c r="BVE42" s="77"/>
      <c r="BVF42" s="86"/>
      <c r="BVG42" s="82"/>
      <c r="BVH42" s="82"/>
      <c r="BVI42" s="82"/>
      <c r="BVJ42" s="82"/>
      <c r="BVK42" s="84"/>
      <c r="BVL42" s="84"/>
      <c r="BVM42" s="84"/>
      <c r="BVN42" s="72"/>
      <c r="BVO42" s="85"/>
      <c r="BVP42" s="72"/>
      <c r="BVQ42" s="72"/>
      <c r="BVR42" s="85"/>
      <c r="BVS42" s="71"/>
      <c r="BVT42" s="71"/>
      <c r="BVU42" s="72"/>
      <c r="BVV42" s="85"/>
      <c r="BVW42" s="76"/>
      <c r="BVX42" s="76"/>
      <c r="BVY42" s="76"/>
      <c r="BVZ42" s="76"/>
      <c r="BWA42" s="77"/>
      <c r="BWB42" s="86"/>
      <c r="BWC42" s="82"/>
      <c r="BWD42" s="82"/>
      <c r="BWE42" s="82"/>
      <c r="BWF42" s="82"/>
      <c r="BWG42" s="84"/>
      <c r="BWH42" s="84"/>
      <c r="BWI42" s="84"/>
      <c r="BWJ42" s="72"/>
      <c r="BWK42" s="85"/>
      <c r="BWL42" s="72"/>
      <c r="BWM42" s="72"/>
      <c r="BWN42" s="85"/>
      <c r="BWO42" s="71"/>
      <c r="BWP42" s="71"/>
      <c r="BWQ42" s="72"/>
      <c r="BWR42" s="85"/>
      <c r="BWS42" s="76"/>
      <c r="BWT42" s="76"/>
      <c r="BWU42" s="76"/>
      <c r="BWV42" s="76"/>
      <c r="BWW42" s="77"/>
      <c r="BWX42" s="86"/>
      <c r="BWY42" s="82"/>
      <c r="BWZ42" s="82"/>
      <c r="BXA42" s="82"/>
      <c r="BXB42" s="82"/>
      <c r="BXC42" s="84"/>
      <c r="BXD42" s="84"/>
      <c r="BXE42" s="84"/>
      <c r="BXF42" s="72"/>
      <c r="BXG42" s="85"/>
      <c r="BXH42" s="72"/>
      <c r="BXI42" s="72"/>
      <c r="BXJ42" s="85"/>
      <c r="BXK42" s="71"/>
      <c r="BXL42" s="71"/>
      <c r="BXM42" s="72"/>
      <c r="BXN42" s="85"/>
      <c r="BXO42" s="76"/>
      <c r="BXP42" s="76"/>
      <c r="BXQ42" s="76"/>
      <c r="BXR42" s="76"/>
      <c r="BXS42" s="77"/>
      <c r="BXT42" s="86"/>
      <c r="BXU42" s="82"/>
      <c r="BXV42" s="82"/>
      <c r="BXW42" s="82"/>
      <c r="BXX42" s="82"/>
      <c r="BXY42" s="84"/>
      <c r="BXZ42" s="84"/>
      <c r="BYA42" s="84"/>
      <c r="BYB42" s="72"/>
      <c r="BYC42" s="85"/>
      <c r="BYD42" s="72"/>
      <c r="BYE42" s="72"/>
      <c r="BYF42" s="85"/>
      <c r="BYG42" s="71"/>
      <c r="BYH42" s="71"/>
      <c r="BYI42" s="72"/>
      <c r="BYJ42" s="85"/>
      <c r="BYK42" s="76"/>
      <c r="BYL42" s="76"/>
      <c r="BYM42" s="76"/>
      <c r="BYN42" s="76"/>
      <c r="BYO42" s="77"/>
      <c r="BYP42" s="86"/>
      <c r="BYQ42" s="82"/>
      <c r="BYR42" s="82"/>
      <c r="BYS42" s="82"/>
      <c r="BYT42" s="82"/>
      <c r="BYU42" s="84"/>
      <c r="BYV42" s="84"/>
      <c r="BYW42" s="84"/>
      <c r="BYX42" s="72"/>
      <c r="BYY42" s="85"/>
      <c r="BYZ42" s="72"/>
      <c r="BZA42" s="72"/>
      <c r="BZB42" s="85"/>
      <c r="BZC42" s="71"/>
      <c r="BZD42" s="71"/>
      <c r="BZE42" s="72"/>
      <c r="BZF42" s="85"/>
      <c r="BZG42" s="76"/>
      <c r="BZH42" s="76"/>
      <c r="BZI42" s="76"/>
      <c r="BZJ42" s="76"/>
      <c r="BZK42" s="77"/>
      <c r="BZL42" s="86"/>
      <c r="BZM42" s="82"/>
      <c r="BZN42" s="82"/>
      <c r="BZO42" s="82"/>
      <c r="BZP42" s="82"/>
      <c r="BZQ42" s="84"/>
      <c r="BZR42" s="84"/>
      <c r="BZS42" s="84"/>
      <c r="BZT42" s="72"/>
      <c r="BZU42" s="85"/>
      <c r="BZV42" s="72"/>
      <c r="BZW42" s="72"/>
      <c r="BZX42" s="85"/>
      <c r="BZY42" s="71"/>
      <c r="BZZ42" s="71"/>
      <c r="CAA42" s="72"/>
      <c r="CAB42" s="85"/>
      <c r="CAC42" s="76"/>
      <c r="CAD42" s="76"/>
      <c r="CAE42" s="76"/>
      <c r="CAF42" s="76"/>
      <c r="CAG42" s="77"/>
      <c r="CAH42" s="86"/>
      <c r="CAI42" s="82"/>
      <c r="CAJ42" s="82"/>
      <c r="CAK42" s="82"/>
      <c r="CAL42" s="82"/>
      <c r="CAM42" s="84"/>
      <c r="CAN42" s="84"/>
      <c r="CAO42" s="84"/>
      <c r="CAP42" s="72"/>
      <c r="CAQ42" s="85"/>
      <c r="CAR42" s="72"/>
      <c r="CAS42" s="72"/>
      <c r="CAT42" s="85"/>
      <c r="CAU42" s="71"/>
      <c r="CAV42" s="71"/>
      <c r="CAW42" s="72"/>
      <c r="CAX42" s="85"/>
      <c r="CAY42" s="76"/>
      <c r="CAZ42" s="76"/>
      <c r="CBA42" s="76"/>
      <c r="CBB42" s="76"/>
      <c r="CBC42" s="77"/>
      <c r="CBD42" s="86"/>
      <c r="CBE42" s="82"/>
      <c r="CBF42" s="82"/>
      <c r="CBG42" s="82"/>
      <c r="CBH42" s="82"/>
      <c r="CBI42" s="84"/>
      <c r="CBJ42" s="84"/>
      <c r="CBK42" s="84"/>
      <c r="CBL42" s="72"/>
      <c r="CBM42" s="85"/>
      <c r="CBN42" s="72"/>
      <c r="CBO42" s="72"/>
      <c r="CBP42" s="85"/>
      <c r="CBQ42" s="71"/>
      <c r="CBR42" s="71"/>
      <c r="CBS42" s="72"/>
      <c r="CBT42" s="85"/>
      <c r="CBU42" s="76"/>
      <c r="CBV42" s="76"/>
      <c r="CBW42" s="76"/>
      <c r="CBX42" s="76"/>
      <c r="CBY42" s="77"/>
      <c r="CBZ42" s="86"/>
      <c r="CCA42" s="82"/>
      <c r="CCB42" s="82"/>
      <c r="CCC42" s="82"/>
      <c r="CCD42" s="82"/>
      <c r="CCE42" s="84"/>
      <c r="CCF42" s="84"/>
      <c r="CCG42" s="84"/>
      <c r="CCH42" s="72"/>
      <c r="CCI42" s="85"/>
      <c r="CCJ42" s="72"/>
      <c r="CCK42" s="72"/>
      <c r="CCL42" s="85"/>
      <c r="CCM42" s="71"/>
      <c r="CCN42" s="71"/>
      <c r="CCO42" s="72"/>
      <c r="CCP42" s="85"/>
      <c r="CCQ42" s="76"/>
      <c r="CCR42" s="76"/>
      <c r="CCS42" s="76"/>
      <c r="CCT42" s="76"/>
      <c r="CCU42" s="77"/>
      <c r="CCV42" s="86"/>
      <c r="CCW42" s="82"/>
      <c r="CCX42" s="82"/>
      <c r="CCY42" s="82"/>
      <c r="CCZ42" s="82"/>
      <c r="CDA42" s="84"/>
      <c r="CDB42" s="84"/>
      <c r="CDC42" s="84"/>
      <c r="CDD42" s="72"/>
      <c r="CDE42" s="85"/>
      <c r="CDF42" s="72"/>
      <c r="CDG42" s="72"/>
      <c r="CDH42" s="85"/>
      <c r="CDI42" s="71"/>
      <c r="CDJ42" s="71"/>
      <c r="CDK42" s="72"/>
      <c r="CDL42" s="85"/>
      <c r="CDM42" s="76"/>
      <c r="CDN42" s="76"/>
      <c r="CDO42" s="76"/>
      <c r="CDP42" s="76"/>
      <c r="CDQ42" s="77"/>
      <c r="CDR42" s="86"/>
      <c r="CDS42" s="82"/>
      <c r="CDT42" s="82"/>
      <c r="CDU42" s="82"/>
      <c r="CDV42" s="82"/>
      <c r="CDW42" s="84"/>
      <c r="CDX42" s="84"/>
      <c r="CDY42" s="84"/>
      <c r="CDZ42" s="72"/>
      <c r="CEA42" s="85"/>
      <c r="CEB42" s="72"/>
      <c r="CEC42" s="72"/>
      <c r="CED42" s="85"/>
      <c r="CEE42" s="71"/>
      <c r="CEF42" s="71"/>
      <c r="CEG42" s="72"/>
      <c r="CEH42" s="85"/>
      <c r="CEI42" s="76"/>
      <c r="CEJ42" s="76"/>
      <c r="CEK42" s="76"/>
      <c r="CEL42" s="76"/>
      <c r="CEM42" s="77"/>
      <c r="CEN42" s="86"/>
      <c r="CEO42" s="82"/>
      <c r="CEP42" s="82"/>
      <c r="CEQ42" s="82"/>
      <c r="CER42" s="82"/>
      <c r="CES42" s="84"/>
      <c r="CET42" s="84"/>
      <c r="CEU42" s="84"/>
      <c r="CEV42" s="72"/>
      <c r="CEW42" s="85"/>
      <c r="CEX42" s="72"/>
      <c r="CEY42" s="72"/>
      <c r="CEZ42" s="85"/>
      <c r="CFA42" s="71"/>
      <c r="CFB42" s="71"/>
      <c r="CFC42" s="72"/>
      <c r="CFD42" s="85"/>
      <c r="CFE42" s="76"/>
      <c r="CFF42" s="76"/>
      <c r="CFG42" s="76"/>
      <c r="CFH42" s="76"/>
      <c r="CFI42" s="77"/>
      <c r="CFJ42" s="86"/>
      <c r="CFK42" s="82"/>
      <c r="CFL42" s="82"/>
      <c r="CFM42" s="82"/>
      <c r="CFN42" s="82"/>
      <c r="CFO42" s="84"/>
      <c r="CFP42" s="84"/>
      <c r="CFQ42" s="84"/>
      <c r="CFR42" s="72"/>
      <c r="CFS42" s="85"/>
      <c r="CFT42" s="72"/>
      <c r="CFU42" s="72"/>
      <c r="CFV42" s="85"/>
      <c r="CFW42" s="71"/>
      <c r="CFX42" s="71"/>
      <c r="CFY42" s="72"/>
      <c r="CFZ42" s="85"/>
      <c r="CGA42" s="76"/>
      <c r="CGB42" s="76"/>
      <c r="CGC42" s="76"/>
      <c r="CGD42" s="76"/>
      <c r="CGE42" s="77"/>
      <c r="CGF42" s="86"/>
      <c r="CGG42" s="82"/>
      <c r="CGH42" s="82"/>
      <c r="CGI42" s="82"/>
      <c r="CGJ42" s="82"/>
      <c r="CGK42" s="84"/>
      <c r="CGL42" s="84"/>
      <c r="CGM42" s="84"/>
      <c r="CGN42" s="72"/>
      <c r="CGO42" s="85"/>
      <c r="CGP42" s="72"/>
      <c r="CGQ42" s="72"/>
      <c r="CGR42" s="85"/>
      <c r="CGS42" s="71"/>
      <c r="CGT42" s="71"/>
      <c r="CGU42" s="72"/>
      <c r="CGV42" s="85"/>
      <c r="CGW42" s="76"/>
      <c r="CGX42" s="76"/>
      <c r="CGY42" s="76"/>
      <c r="CGZ42" s="76"/>
      <c r="CHA42" s="77"/>
      <c r="CHB42" s="86"/>
      <c r="CHC42" s="82"/>
      <c r="CHD42" s="82"/>
      <c r="CHE42" s="82"/>
      <c r="CHF42" s="82"/>
      <c r="CHG42" s="84"/>
      <c r="CHH42" s="84"/>
      <c r="CHI42" s="84"/>
      <c r="CHJ42" s="72"/>
      <c r="CHK42" s="85"/>
      <c r="CHL42" s="72"/>
      <c r="CHM42" s="72"/>
      <c r="CHN42" s="85"/>
      <c r="CHO42" s="71"/>
      <c r="CHP42" s="71"/>
      <c r="CHQ42" s="72"/>
      <c r="CHR42" s="85"/>
      <c r="CHS42" s="76"/>
      <c r="CHT42" s="76"/>
      <c r="CHU42" s="76"/>
      <c r="CHV42" s="76"/>
      <c r="CHW42" s="77"/>
      <c r="CHX42" s="86"/>
      <c r="CHY42" s="82"/>
      <c r="CHZ42" s="82"/>
      <c r="CIA42" s="82"/>
      <c r="CIB42" s="82"/>
      <c r="CIC42" s="84"/>
      <c r="CID42" s="84"/>
      <c r="CIE42" s="84"/>
      <c r="CIF42" s="72"/>
      <c r="CIG42" s="85"/>
      <c r="CIH42" s="72"/>
      <c r="CII42" s="72"/>
      <c r="CIJ42" s="85"/>
      <c r="CIK42" s="71"/>
      <c r="CIL42" s="71"/>
      <c r="CIM42" s="72"/>
      <c r="CIN42" s="85"/>
      <c r="CIO42" s="76"/>
      <c r="CIP42" s="76"/>
      <c r="CIQ42" s="76"/>
      <c r="CIR42" s="76"/>
      <c r="CIS42" s="77"/>
      <c r="CIT42" s="86"/>
      <c r="CIU42" s="82"/>
      <c r="CIV42" s="82"/>
      <c r="CIW42" s="82"/>
      <c r="CIX42" s="82"/>
      <c r="CIY42" s="84"/>
      <c r="CIZ42" s="84"/>
      <c r="CJA42" s="84"/>
      <c r="CJB42" s="72"/>
      <c r="CJC42" s="85"/>
      <c r="CJD42" s="72"/>
      <c r="CJE42" s="72"/>
      <c r="CJF42" s="85"/>
      <c r="CJG42" s="71"/>
      <c r="CJH42" s="71"/>
      <c r="CJI42" s="72"/>
      <c r="CJJ42" s="85"/>
      <c r="CJK42" s="76"/>
      <c r="CJL42" s="76"/>
      <c r="CJM42" s="76"/>
      <c r="CJN42" s="76"/>
      <c r="CJO42" s="77"/>
      <c r="CJP42" s="86"/>
      <c r="CJQ42" s="82"/>
      <c r="CJR42" s="82"/>
      <c r="CJS42" s="82"/>
      <c r="CJT42" s="82"/>
      <c r="CJU42" s="84"/>
      <c r="CJV42" s="84"/>
      <c r="CJW42" s="84"/>
      <c r="CJX42" s="72"/>
      <c r="CJY42" s="85"/>
      <c r="CJZ42" s="72"/>
      <c r="CKA42" s="72"/>
      <c r="CKB42" s="85"/>
      <c r="CKC42" s="71"/>
      <c r="CKD42" s="71"/>
      <c r="CKE42" s="72"/>
      <c r="CKF42" s="85"/>
      <c r="CKG42" s="76"/>
      <c r="CKH42" s="76"/>
      <c r="CKI42" s="76"/>
      <c r="CKJ42" s="76"/>
      <c r="CKK42" s="77"/>
      <c r="CKL42" s="86"/>
      <c r="CKM42" s="82"/>
      <c r="CKN42" s="82"/>
      <c r="CKO42" s="82"/>
      <c r="CKP42" s="82"/>
      <c r="CKQ42" s="84"/>
      <c r="CKR42" s="84"/>
      <c r="CKS42" s="84"/>
      <c r="CKT42" s="72"/>
      <c r="CKU42" s="85"/>
      <c r="CKV42" s="72"/>
      <c r="CKW42" s="72"/>
      <c r="CKX42" s="85"/>
      <c r="CKY42" s="71"/>
      <c r="CKZ42" s="71"/>
      <c r="CLA42" s="72"/>
      <c r="CLB42" s="85"/>
      <c r="CLC42" s="76"/>
      <c r="CLD42" s="76"/>
      <c r="CLE42" s="76"/>
      <c r="CLF42" s="76"/>
      <c r="CLG42" s="77"/>
      <c r="CLH42" s="86"/>
      <c r="CLI42" s="82"/>
      <c r="CLJ42" s="82"/>
      <c r="CLK42" s="82"/>
      <c r="CLL42" s="82"/>
      <c r="CLM42" s="84"/>
      <c r="CLN42" s="84"/>
      <c r="CLO42" s="84"/>
      <c r="CLP42" s="72"/>
      <c r="CLQ42" s="85"/>
      <c r="CLR42" s="72"/>
      <c r="CLS42" s="72"/>
      <c r="CLT42" s="85"/>
      <c r="CLU42" s="71"/>
      <c r="CLV42" s="71"/>
      <c r="CLW42" s="72"/>
      <c r="CLX42" s="85"/>
      <c r="CLY42" s="76"/>
      <c r="CLZ42" s="76"/>
      <c r="CMA42" s="76"/>
      <c r="CMB42" s="76"/>
      <c r="CMC42" s="77"/>
      <c r="CMD42" s="86"/>
      <c r="CME42" s="82"/>
      <c r="CMF42" s="82"/>
      <c r="CMG42" s="82"/>
      <c r="CMH42" s="82"/>
      <c r="CMI42" s="84"/>
      <c r="CMJ42" s="84"/>
      <c r="CMK42" s="84"/>
      <c r="CML42" s="72"/>
      <c r="CMM42" s="85"/>
      <c r="CMN42" s="72"/>
      <c r="CMO42" s="72"/>
      <c r="CMP42" s="85"/>
      <c r="CMQ42" s="71"/>
      <c r="CMR42" s="71"/>
      <c r="CMS42" s="72"/>
      <c r="CMT42" s="85"/>
      <c r="CMU42" s="76"/>
      <c r="CMV42" s="76"/>
      <c r="CMW42" s="76"/>
      <c r="CMX42" s="76"/>
      <c r="CMY42" s="77"/>
      <c r="CMZ42" s="86"/>
      <c r="CNA42" s="82"/>
      <c r="CNB42" s="82"/>
      <c r="CNC42" s="82"/>
      <c r="CND42" s="82"/>
      <c r="CNE42" s="84"/>
      <c r="CNF42" s="84"/>
      <c r="CNG42" s="84"/>
      <c r="CNH42" s="72"/>
      <c r="CNI42" s="85"/>
      <c r="CNJ42" s="72"/>
      <c r="CNK42" s="72"/>
      <c r="CNL42" s="85"/>
      <c r="CNM42" s="71"/>
      <c r="CNN42" s="71"/>
      <c r="CNO42" s="72"/>
      <c r="CNP42" s="85"/>
      <c r="CNQ42" s="76"/>
      <c r="CNR42" s="76"/>
      <c r="CNS42" s="76"/>
      <c r="CNT42" s="76"/>
      <c r="CNU42" s="77"/>
      <c r="CNV42" s="86"/>
      <c r="CNW42" s="82"/>
      <c r="CNX42" s="82"/>
      <c r="CNY42" s="82"/>
      <c r="CNZ42" s="82"/>
      <c r="COA42" s="84"/>
      <c r="COB42" s="84"/>
      <c r="COC42" s="84"/>
      <c r="COD42" s="72"/>
      <c r="COE42" s="85"/>
      <c r="COF42" s="72"/>
      <c r="COG42" s="72"/>
      <c r="COH42" s="85"/>
      <c r="COI42" s="71"/>
      <c r="COJ42" s="71"/>
      <c r="COK42" s="72"/>
      <c r="COL42" s="85"/>
      <c r="COM42" s="76"/>
      <c r="CON42" s="76"/>
      <c r="COO42" s="76"/>
      <c r="COP42" s="76"/>
      <c r="COQ42" s="77"/>
      <c r="COR42" s="86"/>
      <c r="COS42" s="82"/>
      <c r="COT42" s="82"/>
      <c r="COU42" s="82"/>
      <c r="COV42" s="82"/>
      <c r="COW42" s="84"/>
      <c r="COX42" s="84"/>
      <c r="COY42" s="84"/>
      <c r="COZ42" s="72"/>
      <c r="CPA42" s="85"/>
      <c r="CPB42" s="72"/>
      <c r="CPC42" s="72"/>
      <c r="CPD42" s="85"/>
      <c r="CPE42" s="71"/>
      <c r="CPF42" s="71"/>
      <c r="CPG42" s="72"/>
      <c r="CPH42" s="85"/>
      <c r="CPI42" s="76"/>
      <c r="CPJ42" s="76"/>
      <c r="CPK42" s="76"/>
      <c r="CPL42" s="76"/>
      <c r="CPM42" s="77"/>
      <c r="CPN42" s="86"/>
      <c r="CPO42" s="82"/>
      <c r="CPP42" s="82"/>
      <c r="CPQ42" s="82"/>
      <c r="CPR42" s="82"/>
      <c r="CPS42" s="84"/>
      <c r="CPT42" s="84"/>
      <c r="CPU42" s="84"/>
      <c r="CPV42" s="72"/>
      <c r="CPW42" s="85"/>
      <c r="CPX42" s="72"/>
      <c r="CPY42" s="72"/>
      <c r="CPZ42" s="85"/>
      <c r="CQA42" s="71"/>
      <c r="CQB42" s="71"/>
      <c r="CQC42" s="72"/>
      <c r="CQD42" s="85"/>
      <c r="CQE42" s="76"/>
      <c r="CQF42" s="76"/>
      <c r="CQG42" s="76"/>
      <c r="CQH42" s="76"/>
      <c r="CQI42" s="77"/>
      <c r="CQJ42" s="86"/>
      <c r="CQK42" s="82"/>
      <c r="CQL42" s="82"/>
      <c r="CQM42" s="82"/>
      <c r="CQN42" s="82"/>
      <c r="CQO42" s="84"/>
      <c r="CQP42" s="84"/>
      <c r="CQQ42" s="84"/>
      <c r="CQR42" s="72"/>
      <c r="CQS42" s="85"/>
      <c r="CQT42" s="72"/>
      <c r="CQU42" s="72"/>
      <c r="CQV42" s="85"/>
      <c r="CQW42" s="71"/>
      <c r="CQX42" s="71"/>
      <c r="CQY42" s="72"/>
      <c r="CQZ42" s="85"/>
      <c r="CRA42" s="76"/>
      <c r="CRB42" s="76"/>
      <c r="CRC42" s="76"/>
      <c r="CRD42" s="76"/>
      <c r="CRE42" s="77"/>
      <c r="CRF42" s="86"/>
      <c r="CRG42" s="82"/>
      <c r="CRH42" s="82"/>
      <c r="CRI42" s="82"/>
      <c r="CRJ42" s="82"/>
      <c r="CRK42" s="84"/>
      <c r="CRL42" s="84"/>
      <c r="CRM42" s="84"/>
      <c r="CRN42" s="72"/>
      <c r="CRO42" s="85"/>
      <c r="CRP42" s="72"/>
      <c r="CRQ42" s="72"/>
      <c r="CRR42" s="85"/>
      <c r="CRS42" s="71"/>
      <c r="CRT42" s="71"/>
      <c r="CRU42" s="72"/>
      <c r="CRV42" s="85"/>
      <c r="CRW42" s="76"/>
      <c r="CRX42" s="76"/>
      <c r="CRY42" s="76"/>
      <c r="CRZ42" s="76"/>
      <c r="CSA42" s="77"/>
      <c r="CSB42" s="86"/>
      <c r="CSC42" s="82"/>
      <c r="CSD42" s="82"/>
      <c r="CSE42" s="82"/>
      <c r="CSF42" s="82"/>
      <c r="CSG42" s="84"/>
      <c r="CSH42" s="84"/>
      <c r="CSI42" s="84"/>
      <c r="CSJ42" s="72"/>
      <c r="CSK42" s="85"/>
      <c r="CSL42" s="72"/>
      <c r="CSM42" s="72"/>
      <c r="CSN42" s="85"/>
      <c r="CSO42" s="71"/>
      <c r="CSP42" s="71"/>
      <c r="CSQ42" s="72"/>
      <c r="CSR42" s="85"/>
      <c r="CSS42" s="76"/>
      <c r="CST42" s="76"/>
      <c r="CSU42" s="76"/>
      <c r="CSV42" s="76"/>
      <c r="CSW42" s="77"/>
      <c r="CSX42" s="86"/>
      <c r="CSY42" s="82"/>
      <c r="CSZ42" s="82"/>
      <c r="CTA42" s="82"/>
      <c r="CTB42" s="82"/>
      <c r="CTC42" s="84"/>
      <c r="CTD42" s="84"/>
      <c r="CTE42" s="84"/>
      <c r="CTF42" s="72"/>
    </row>
    <row r="43" s="8" customFormat="1" ht="400" customHeight="1" spans="1:1024 1025:2554">
      <c r="A43" s="70">
        <v>31</v>
      </c>
      <c r="B43" s="71" t="s">
        <v>90</v>
      </c>
      <c r="C43" s="72" t="s">
        <v>41</v>
      </c>
      <c r="D43" s="73" t="s">
        <v>75</v>
      </c>
      <c r="E43" s="71" t="s">
        <v>91</v>
      </c>
      <c r="F43" s="71">
        <v>50.8</v>
      </c>
      <c r="G43" s="71"/>
      <c r="H43" s="74">
        <v>1.65</v>
      </c>
      <c r="I43" s="75" t="s">
        <v>43</v>
      </c>
      <c r="J43" s="71">
        <v>6</v>
      </c>
      <c r="K43" s="76">
        <f t="shared" si="0"/>
        <v>40</v>
      </c>
      <c r="L43" s="73">
        <v>240</v>
      </c>
      <c r="M43" s="77">
        <v>10.31</v>
      </c>
      <c r="N43" s="78">
        <f t="shared" si="3"/>
        <v>2474.4</v>
      </c>
      <c r="O43" s="79">
        <v>1.964</v>
      </c>
      <c r="P43" s="82">
        <f t="shared" si="4"/>
        <v>471.36</v>
      </c>
      <c r="Q43" s="71">
        <v>73064000</v>
      </c>
      <c r="R43" s="81"/>
      <c r="S43" s="83"/>
      <c r="T43" s="82"/>
      <c r="U43" s="84"/>
      <c r="V43" s="84"/>
      <c r="W43" s="84"/>
      <c r="X43" s="72"/>
      <c r="Y43" s="85"/>
      <c r="Z43" s="72"/>
      <c r="AA43" s="72"/>
      <c r="AB43" s="85"/>
      <c r="AC43" s="71"/>
      <c r="AD43" s="71"/>
      <c r="AE43" s="72"/>
      <c r="AF43" s="85"/>
      <c r="AG43" s="76"/>
      <c r="AH43" s="76"/>
      <c r="AI43" s="76"/>
      <c r="AJ43" s="76"/>
      <c r="AK43" s="77"/>
      <c r="AL43" s="86"/>
      <c r="AM43" s="82"/>
      <c r="AN43" s="82"/>
      <c r="AO43" s="82"/>
      <c r="AP43" s="82"/>
      <c r="AQ43" s="84"/>
      <c r="AR43" s="84"/>
      <c r="AS43" s="84"/>
      <c r="AT43" s="72"/>
      <c r="AU43" s="85"/>
      <c r="AV43" s="72"/>
      <c r="AW43" s="72"/>
      <c r="AX43" s="85"/>
      <c r="AY43" s="71"/>
      <c r="AZ43" s="71"/>
      <c r="BA43" s="72"/>
      <c r="BB43" s="85"/>
      <c r="BC43" s="76"/>
      <c r="BD43" s="76"/>
      <c r="BE43" s="76"/>
      <c r="BF43" s="76"/>
      <c r="BG43" s="77"/>
      <c r="BH43" s="86"/>
      <c r="BI43" s="82"/>
      <c r="BJ43" s="82"/>
      <c r="BK43" s="82"/>
      <c r="BL43" s="82"/>
      <c r="BM43" s="84"/>
      <c r="BN43" s="84"/>
      <c r="BO43" s="84"/>
      <c r="BP43" s="72"/>
      <c r="BQ43" s="85"/>
      <c r="BR43" s="72"/>
      <c r="BS43" s="72"/>
      <c r="BT43" s="85"/>
      <c r="BU43" s="71"/>
      <c r="BV43" s="71"/>
      <c r="BW43" s="72"/>
      <c r="BX43" s="85"/>
      <c r="BY43" s="76"/>
      <c r="BZ43" s="76"/>
      <c r="CA43" s="76"/>
      <c r="CB43" s="76"/>
      <c r="CC43" s="77"/>
      <c r="CD43" s="86"/>
      <c r="CE43" s="82"/>
      <c r="CF43" s="82"/>
      <c r="CG43" s="82"/>
      <c r="CH43" s="82"/>
      <c r="CI43" s="84"/>
      <c r="CJ43" s="84"/>
      <c r="CK43" s="84"/>
      <c r="CL43" s="72"/>
      <c r="CM43" s="85"/>
      <c r="CN43" s="72"/>
      <c r="CO43" s="72"/>
      <c r="CP43" s="85"/>
      <c r="CQ43" s="71"/>
      <c r="CR43" s="71"/>
      <c r="CS43" s="72"/>
      <c r="CT43" s="85"/>
      <c r="CU43" s="76"/>
      <c r="CV43" s="76"/>
      <c r="CW43" s="76"/>
      <c r="CX43" s="76"/>
      <c r="CY43" s="77"/>
      <c r="CZ43" s="86"/>
      <c r="DA43" s="82"/>
      <c r="DB43" s="82"/>
      <c r="DC43" s="82"/>
      <c r="DD43" s="82"/>
      <c r="DE43" s="84"/>
      <c r="DF43" s="84"/>
      <c r="DG43" s="84"/>
      <c r="DH43" s="72"/>
      <c r="DI43" s="85"/>
      <c r="DJ43" s="72"/>
      <c r="DK43" s="72"/>
      <c r="DL43" s="85"/>
      <c r="DM43" s="71"/>
      <c r="DN43" s="71"/>
      <c r="DO43" s="72"/>
      <c r="DP43" s="85"/>
      <c r="DQ43" s="76"/>
      <c r="DR43" s="76"/>
      <c r="DS43" s="76"/>
      <c r="DT43" s="76"/>
      <c r="DU43" s="77"/>
      <c r="DV43" s="86"/>
      <c r="DW43" s="82"/>
      <c r="DX43" s="82"/>
      <c r="DY43" s="82"/>
      <c r="DZ43" s="82"/>
      <c r="EA43" s="84"/>
      <c r="EB43" s="84"/>
      <c r="EC43" s="84"/>
      <c r="ED43" s="72"/>
      <c r="EE43" s="85"/>
      <c r="EF43" s="72"/>
      <c r="EG43" s="72"/>
      <c r="EH43" s="85"/>
      <c r="EI43" s="71"/>
      <c r="EJ43" s="71"/>
      <c r="EK43" s="72"/>
      <c r="EL43" s="85"/>
      <c r="EM43" s="76"/>
      <c r="EN43" s="76"/>
      <c r="EO43" s="76"/>
      <c r="EP43" s="76"/>
      <c r="EQ43" s="77"/>
      <c r="ER43" s="86"/>
      <c r="ES43" s="82"/>
      <c r="ET43" s="82"/>
      <c r="EU43" s="82"/>
      <c r="EV43" s="82"/>
      <c r="EW43" s="84"/>
      <c r="EX43" s="84"/>
      <c r="EY43" s="84"/>
      <c r="EZ43" s="72"/>
      <c r="FA43" s="85"/>
      <c r="FB43" s="72"/>
      <c r="FC43" s="72"/>
      <c r="FD43" s="85"/>
      <c r="FE43" s="71"/>
      <c r="FF43" s="71"/>
      <c r="FG43" s="72"/>
      <c r="FH43" s="85"/>
      <c r="FI43" s="76"/>
      <c r="FJ43" s="76"/>
      <c r="FK43" s="76"/>
      <c r="FL43" s="76"/>
      <c r="FM43" s="77"/>
      <c r="FN43" s="86"/>
      <c r="FO43" s="82"/>
      <c r="FP43" s="82"/>
      <c r="FQ43" s="82"/>
      <c r="FR43" s="82"/>
      <c r="FS43" s="84"/>
      <c r="FT43" s="84"/>
      <c r="FU43" s="84"/>
      <c r="FV43" s="72"/>
      <c r="FW43" s="85"/>
      <c r="FX43" s="72"/>
      <c r="FY43" s="72"/>
      <c r="FZ43" s="85"/>
      <c r="GA43" s="71"/>
      <c r="GB43" s="71"/>
      <c r="GC43" s="72"/>
      <c r="GD43" s="85"/>
      <c r="GE43" s="76"/>
      <c r="GF43" s="76"/>
      <c r="GG43" s="76"/>
      <c r="GH43" s="76"/>
      <c r="GI43" s="77"/>
      <c r="GJ43" s="86"/>
      <c r="GK43" s="82"/>
      <c r="GL43" s="82"/>
      <c r="GM43" s="82"/>
      <c r="GN43" s="82"/>
      <c r="GO43" s="84"/>
      <c r="GP43" s="84"/>
      <c r="GQ43" s="84"/>
      <c r="GR43" s="72"/>
      <c r="GS43" s="85"/>
      <c r="GT43" s="72"/>
      <c r="GU43" s="72"/>
      <c r="GV43" s="85"/>
      <c r="GW43" s="71"/>
      <c r="GX43" s="71"/>
      <c r="GY43" s="72"/>
      <c r="GZ43" s="85"/>
      <c r="HA43" s="76"/>
      <c r="HB43" s="76"/>
      <c r="HC43" s="76"/>
      <c r="HD43" s="76"/>
      <c r="HE43" s="77"/>
      <c r="HF43" s="86"/>
      <c r="HG43" s="82"/>
      <c r="HH43" s="82"/>
      <c r="HI43" s="82"/>
      <c r="HJ43" s="82"/>
      <c r="HK43" s="84"/>
      <c r="HL43" s="84"/>
      <c r="HM43" s="84"/>
      <c r="HN43" s="72"/>
      <c r="HO43" s="85"/>
      <c r="HP43" s="72"/>
      <c r="HQ43" s="72"/>
      <c r="HR43" s="85"/>
      <c r="HS43" s="71"/>
      <c r="HT43" s="71"/>
      <c r="HU43" s="72"/>
      <c r="HV43" s="85"/>
      <c r="HW43" s="76"/>
      <c r="HX43" s="76"/>
      <c r="HY43" s="76"/>
      <c r="HZ43" s="76"/>
      <c r="IA43" s="77"/>
      <c r="IB43" s="86"/>
      <c r="IC43" s="82"/>
      <c r="ID43" s="82"/>
      <c r="IE43" s="82"/>
      <c r="IF43" s="82"/>
      <c r="IG43" s="84"/>
      <c r="IH43" s="84"/>
      <c r="II43" s="84"/>
      <c r="IJ43" s="72"/>
      <c r="IK43" s="85"/>
      <c r="IL43" s="72"/>
      <c r="IM43" s="72"/>
      <c r="IN43" s="85"/>
      <c r="IO43" s="71"/>
      <c r="IP43" s="71"/>
      <c r="IQ43" s="72"/>
      <c r="IR43" s="85"/>
      <c r="IS43" s="76"/>
      <c r="IT43" s="76"/>
      <c r="IU43" s="76"/>
      <c r="IV43" s="76"/>
      <c r="IW43" s="77"/>
      <c r="IX43" s="86"/>
      <c r="IY43" s="82"/>
      <c r="IZ43" s="82"/>
      <c r="JA43" s="82"/>
      <c r="JB43" s="82"/>
      <c r="JC43" s="84"/>
      <c r="JD43" s="84"/>
      <c r="JE43" s="84"/>
      <c r="JF43" s="72"/>
      <c r="JG43" s="85"/>
      <c r="JH43" s="72"/>
      <c r="JI43" s="72"/>
      <c r="JJ43" s="85"/>
      <c r="JK43" s="71"/>
      <c r="JL43" s="71"/>
      <c r="JM43" s="72"/>
      <c r="JN43" s="85"/>
      <c r="JO43" s="76"/>
      <c r="JP43" s="76"/>
      <c r="JQ43" s="76"/>
      <c r="JR43" s="76"/>
      <c r="JS43" s="77"/>
      <c r="JT43" s="86"/>
      <c r="JU43" s="82"/>
      <c r="JV43" s="82"/>
      <c r="JW43" s="82"/>
      <c r="JX43" s="82"/>
      <c r="JY43" s="84"/>
      <c r="JZ43" s="84"/>
      <c r="KA43" s="84"/>
      <c r="KB43" s="72"/>
      <c r="KC43" s="85"/>
      <c r="KD43" s="72"/>
      <c r="KE43" s="72"/>
      <c r="KF43" s="85"/>
      <c r="KG43" s="71"/>
      <c r="KH43" s="71"/>
      <c r="KI43" s="72"/>
      <c r="KJ43" s="85"/>
      <c r="KK43" s="76"/>
      <c r="KL43" s="76"/>
      <c r="KM43" s="76"/>
      <c r="KN43" s="76"/>
      <c r="KO43" s="77"/>
      <c r="KP43" s="86"/>
      <c r="KQ43" s="82"/>
      <c r="KR43" s="82"/>
      <c r="KS43" s="82"/>
      <c r="KT43" s="82"/>
      <c r="KU43" s="84"/>
      <c r="KV43" s="84"/>
      <c r="KW43" s="84"/>
      <c r="KX43" s="72"/>
      <c r="KY43" s="85"/>
      <c r="KZ43" s="72"/>
      <c r="LA43" s="72"/>
      <c r="LB43" s="85"/>
      <c r="LC43" s="71"/>
      <c r="LD43" s="71"/>
      <c r="LE43" s="72"/>
      <c r="LF43" s="85"/>
      <c r="LG43" s="76"/>
      <c r="LH43" s="76"/>
      <c r="LI43" s="76"/>
      <c r="LJ43" s="76"/>
      <c r="LK43" s="77"/>
      <c r="LL43" s="86"/>
      <c r="LM43" s="82"/>
      <c r="LN43" s="82"/>
      <c r="LO43" s="82"/>
      <c r="LP43" s="82"/>
      <c r="LQ43" s="84"/>
      <c r="LR43" s="84"/>
      <c r="LS43" s="84"/>
      <c r="LT43" s="72"/>
      <c r="LU43" s="85"/>
      <c r="LV43" s="72"/>
      <c r="LW43" s="72"/>
      <c r="LX43" s="85"/>
      <c r="LY43" s="71"/>
      <c r="LZ43" s="71"/>
      <c r="MA43" s="72"/>
      <c r="MB43" s="85"/>
      <c r="MC43" s="76"/>
      <c r="MD43" s="76"/>
      <c r="ME43" s="76"/>
      <c r="MF43" s="76"/>
      <c r="MG43" s="77"/>
      <c r="MH43" s="86"/>
      <c r="MI43" s="82"/>
      <c r="MJ43" s="82"/>
      <c r="MK43" s="82"/>
      <c r="ML43" s="82"/>
      <c r="MM43" s="84"/>
      <c r="MN43" s="84"/>
      <c r="MO43" s="84"/>
      <c r="MP43" s="72"/>
      <c r="MQ43" s="85"/>
      <c r="MR43" s="72"/>
      <c r="MS43" s="72"/>
      <c r="MT43" s="85"/>
      <c r="MU43" s="71"/>
      <c r="MV43" s="71"/>
      <c r="MW43" s="72"/>
      <c r="MX43" s="85"/>
      <c r="MY43" s="76"/>
      <c r="MZ43" s="76"/>
      <c r="NA43" s="76"/>
      <c r="NB43" s="76"/>
      <c r="NC43" s="77"/>
      <c r="ND43" s="86"/>
      <c r="NE43" s="82"/>
      <c r="NF43" s="82"/>
      <c r="NG43" s="82"/>
      <c r="NH43" s="82"/>
      <c r="NI43" s="84"/>
      <c r="NJ43" s="84"/>
      <c r="NK43" s="84"/>
      <c r="NL43" s="72"/>
      <c r="NM43" s="85"/>
      <c r="NN43" s="72"/>
      <c r="NO43" s="72"/>
      <c r="NP43" s="85"/>
      <c r="NQ43" s="71"/>
      <c r="NR43" s="71"/>
      <c r="NS43" s="72"/>
      <c r="NT43" s="85"/>
      <c r="NU43" s="76"/>
      <c r="NV43" s="76"/>
      <c r="NW43" s="76"/>
      <c r="NX43" s="76"/>
      <c r="NY43" s="77"/>
      <c r="NZ43" s="86"/>
      <c r="OA43" s="82"/>
      <c r="OB43" s="82"/>
      <c r="OC43" s="82"/>
      <c r="OD43" s="82"/>
      <c r="OE43" s="84"/>
      <c r="OF43" s="84"/>
      <c r="OG43" s="84"/>
      <c r="OH43" s="72"/>
      <c r="OI43" s="85"/>
      <c r="OJ43" s="72"/>
      <c r="OK43" s="72"/>
      <c r="OL43" s="85"/>
      <c r="OM43" s="71"/>
      <c r="ON43" s="71"/>
      <c r="OO43" s="72"/>
      <c r="OP43" s="85"/>
      <c r="OQ43" s="76"/>
      <c r="OR43" s="76"/>
      <c r="OS43" s="76"/>
      <c r="OT43" s="76"/>
      <c r="OU43" s="77"/>
      <c r="OV43" s="86"/>
      <c r="OW43" s="82"/>
      <c r="OX43" s="82"/>
      <c r="OY43" s="82"/>
      <c r="OZ43" s="82"/>
      <c r="PA43" s="84"/>
      <c r="PB43" s="84"/>
      <c r="PC43" s="84"/>
      <c r="PD43" s="72"/>
      <c r="PE43" s="85"/>
      <c r="PF43" s="72"/>
      <c r="PG43" s="72"/>
      <c r="PH43" s="85"/>
      <c r="PI43" s="71"/>
      <c r="PJ43" s="71"/>
      <c r="PK43" s="72"/>
      <c r="PL43" s="85"/>
      <c r="PM43" s="76"/>
      <c r="PN43" s="76"/>
      <c r="PO43" s="76"/>
      <c r="PP43" s="76"/>
      <c r="PQ43" s="77"/>
      <c r="PR43" s="86"/>
      <c r="PS43" s="82"/>
      <c r="PT43" s="82"/>
      <c r="PU43" s="82"/>
      <c r="PV43" s="82"/>
      <c r="PW43" s="84"/>
      <c r="PX43" s="84"/>
      <c r="PY43" s="84"/>
      <c r="PZ43" s="72"/>
      <c r="QA43" s="85"/>
      <c r="QB43" s="72"/>
      <c r="QC43" s="72"/>
      <c r="QD43" s="85"/>
      <c r="QE43" s="71"/>
      <c r="QF43" s="71"/>
      <c r="QG43" s="72"/>
      <c r="QH43" s="85"/>
      <c r="QI43" s="76"/>
      <c r="QJ43" s="76"/>
      <c r="QK43" s="76"/>
      <c r="QL43" s="76"/>
      <c r="QM43" s="77"/>
      <c r="QN43" s="86"/>
      <c r="QO43" s="82"/>
      <c r="QP43" s="82"/>
      <c r="QQ43" s="82"/>
      <c r="QR43" s="82"/>
      <c r="QS43" s="84"/>
      <c r="QT43" s="84"/>
      <c r="QU43" s="84"/>
      <c r="QV43" s="72"/>
      <c r="QW43" s="85"/>
      <c r="QX43" s="72"/>
      <c r="QY43" s="72"/>
      <c r="QZ43" s="85"/>
      <c r="RA43" s="71"/>
      <c r="RB43" s="71"/>
      <c r="RC43" s="72"/>
      <c r="RD43" s="85"/>
      <c r="RE43" s="76"/>
      <c r="RF43" s="76"/>
      <c r="RG43" s="76"/>
      <c r="RH43" s="76"/>
      <c r="RI43" s="77"/>
      <c r="RJ43" s="86"/>
      <c r="RK43" s="82"/>
      <c r="RL43" s="82"/>
      <c r="RM43" s="82"/>
      <c r="RN43" s="82"/>
      <c r="RO43" s="84"/>
      <c r="RP43" s="84"/>
      <c r="RQ43" s="84"/>
      <c r="RR43" s="72"/>
      <c r="RS43" s="85"/>
      <c r="RT43" s="72"/>
      <c r="RU43" s="72"/>
      <c r="RV43" s="85"/>
      <c r="RW43" s="71"/>
      <c r="RX43" s="71"/>
      <c r="RY43" s="72"/>
      <c r="RZ43" s="85"/>
      <c r="SA43" s="76"/>
      <c r="SB43" s="76"/>
      <c r="SC43" s="76"/>
      <c r="SD43" s="76"/>
      <c r="SE43" s="77"/>
      <c r="SF43" s="86"/>
      <c r="SG43" s="82"/>
      <c r="SH43" s="82"/>
      <c r="SI43" s="82"/>
      <c r="SJ43" s="82"/>
      <c r="SK43" s="84"/>
      <c r="SL43" s="84"/>
      <c r="SM43" s="84"/>
      <c r="SN43" s="72"/>
      <c r="SO43" s="85"/>
      <c r="SP43" s="72"/>
      <c r="SQ43" s="72"/>
      <c r="SR43" s="85"/>
      <c r="SS43" s="71"/>
      <c r="ST43" s="71"/>
      <c r="SU43" s="72"/>
      <c r="SV43" s="85"/>
      <c r="SW43" s="76"/>
      <c r="SX43" s="76"/>
      <c r="SY43" s="76"/>
      <c r="SZ43" s="76"/>
      <c r="TA43" s="77"/>
      <c r="TB43" s="86"/>
      <c r="TC43" s="82"/>
      <c r="TD43" s="82"/>
      <c r="TE43" s="82"/>
      <c r="TF43" s="82"/>
      <c r="TG43" s="84"/>
      <c r="TH43" s="84"/>
      <c r="TI43" s="84"/>
      <c r="TJ43" s="72"/>
      <c r="TK43" s="85"/>
      <c r="TL43" s="72"/>
      <c r="TM43" s="72"/>
      <c r="TN43" s="85"/>
      <c r="TO43" s="71"/>
      <c r="TP43" s="71"/>
      <c r="TQ43" s="72"/>
      <c r="TR43" s="85"/>
      <c r="TS43" s="76"/>
      <c r="TT43" s="76"/>
      <c r="TU43" s="76"/>
      <c r="TV43" s="76"/>
      <c r="TW43" s="77"/>
      <c r="TX43" s="86"/>
      <c r="TY43" s="82"/>
      <c r="TZ43" s="82"/>
      <c r="UA43" s="82"/>
      <c r="UB43" s="82"/>
      <c r="UC43" s="84"/>
      <c r="UD43" s="84"/>
      <c r="UE43" s="84"/>
      <c r="UF43" s="72"/>
      <c r="UG43" s="85"/>
      <c r="UH43" s="72"/>
      <c r="UI43" s="72"/>
      <c r="UJ43" s="85"/>
      <c r="UK43" s="71"/>
      <c r="UL43" s="71"/>
      <c r="UM43" s="72"/>
      <c r="UN43" s="85"/>
      <c r="UO43" s="76"/>
      <c r="UP43" s="76"/>
      <c r="UQ43" s="76"/>
      <c r="UR43" s="76"/>
      <c r="US43" s="77"/>
      <c r="UT43" s="86"/>
      <c r="UU43" s="82"/>
      <c r="UV43" s="82"/>
      <c r="UW43" s="82"/>
      <c r="UX43" s="82"/>
      <c r="UY43" s="84"/>
      <c r="UZ43" s="84"/>
      <c r="VA43" s="84"/>
      <c r="VB43" s="72"/>
      <c r="VC43" s="85"/>
      <c r="VD43" s="72"/>
      <c r="VE43" s="72"/>
      <c r="VF43" s="85"/>
      <c r="VG43" s="71"/>
      <c r="VH43" s="71"/>
      <c r="VI43" s="72"/>
      <c r="VJ43" s="85"/>
      <c r="VK43" s="76"/>
      <c r="VL43" s="76"/>
      <c r="VM43" s="76"/>
      <c r="VN43" s="76"/>
      <c r="VO43" s="77"/>
      <c r="VP43" s="86"/>
      <c r="VQ43" s="82"/>
      <c r="VR43" s="82"/>
      <c r="VS43" s="82"/>
      <c r="VT43" s="82"/>
      <c r="VU43" s="84"/>
      <c r="VV43" s="84"/>
      <c r="VW43" s="84"/>
      <c r="VX43" s="72"/>
      <c r="VY43" s="85"/>
      <c r="VZ43" s="72"/>
      <c r="WA43" s="72"/>
      <c r="WB43" s="85"/>
      <c r="WC43" s="71"/>
      <c r="WD43" s="71"/>
      <c r="WE43" s="72"/>
      <c r="WF43" s="85"/>
      <c r="WG43" s="76"/>
      <c r="WH43" s="76"/>
      <c r="WI43" s="76"/>
      <c r="WJ43" s="76"/>
      <c r="WK43" s="77"/>
      <c r="WL43" s="86"/>
      <c r="WM43" s="82"/>
      <c r="WN43" s="82"/>
      <c r="WO43" s="82"/>
      <c r="WP43" s="82"/>
      <c r="WQ43" s="84"/>
      <c r="WR43" s="84"/>
      <c r="WS43" s="84"/>
      <c r="WT43" s="72"/>
      <c r="WU43" s="85"/>
      <c r="WV43" s="72"/>
      <c r="WW43" s="72"/>
      <c r="WX43" s="85"/>
      <c r="WY43" s="71"/>
      <c r="WZ43" s="71"/>
      <c r="XA43" s="72"/>
      <c r="XB43" s="85"/>
      <c r="XC43" s="76"/>
      <c r="XD43" s="76"/>
      <c r="XE43" s="76"/>
      <c r="XF43" s="76"/>
      <c r="XG43" s="77"/>
      <c r="XH43" s="86"/>
      <c r="XI43" s="82"/>
      <c r="XJ43" s="82"/>
      <c r="XK43" s="82"/>
      <c r="XL43" s="82"/>
      <c r="XM43" s="84"/>
      <c r="XN43" s="84"/>
      <c r="XO43" s="84"/>
      <c r="XP43" s="72"/>
      <c r="XQ43" s="85"/>
      <c r="XR43" s="72"/>
      <c r="XS43" s="72"/>
      <c r="XT43" s="85"/>
      <c r="XU43" s="71"/>
      <c r="XV43" s="71"/>
      <c r="XW43" s="72"/>
      <c r="XX43" s="85"/>
      <c r="XY43" s="76"/>
      <c r="XZ43" s="76"/>
      <c r="YA43" s="76"/>
      <c r="YB43" s="76"/>
      <c r="YC43" s="77"/>
      <c r="YD43" s="86"/>
      <c r="YE43" s="82"/>
      <c r="YF43" s="82"/>
      <c r="YG43" s="82"/>
      <c r="YH43" s="82"/>
      <c r="YI43" s="84"/>
      <c r="YJ43" s="84"/>
      <c r="YK43" s="84"/>
      <c r="YL43" s="72"/>
      <c r="YM43" s="85"/>
      <c r="YN43" s="72"/>
      <c r="YO43" s="72"/>
      <c r="YP43" s="85"/>
      <c r="YQ43" s="71"/>
      <c r="YR43" s="71"/>
      <c r="YS43" s="72"/>
      <c r="YT43" s="85"/>
      <c r="YU43" s="76"/>
      <c r="YV43" s="76"/>
      <c r="YW43" s="76"/>
      <c r="YX43" s="76"/>
      <c r="YY43" s="77"/>
      <c r="YZ43" s="86"/>
      <c r="ZA43" s="82"/>
      <c r="ZB43" s="82"/>
      <c r="ZC43" s="82"/>
      <c r="ZD43" s="82"/>
      <c r="ZE43" s="84"/>
      <c r="ZF43" s="84"/>
      <c r="ZG43" s="84"/>
      <c r="ZH43" s="72"/>
      <c r="ZI43" s="85"/>
      <c r="ZJ43" s="72"/>
      <c r="ZK43" s="72"/>
      <c r="ZL43" s="85"/>
      <c r="ZM43" s="71"/>
      <c r="ZN43" s="71"/>
      <c r="ZO43" s="72"/>
      <c r="ZP43" s="85"/>
      <c r="ZQ43" s="76"/>
      <c r="ZR43" s="76"/>
      <c r="ZS43" s="76"/>
      <c r="ZT43" s="76"/>
      <c r="ZU43" s="77"/>
      <c r="ZV43" s="86"/>
      <c r="ZW43" s="82"/>
      <c r="ZX43" s="82"/>
      <c r="ZY43" s="82"/>
      <c r="ZZ43" s="82"/>
      <c r="AAA43" s="84"/>
      <c r="AAB43" s="84"/>
      <c r="AAC43" s="84"/>
      <c r="AAD43" s="72"/>
      <c r="AAE43" s="85"/>
      <c r="AAF43" s="72"/>
      <c r="AAG43" s="72"/>
      <c r="AAH43" s="85"/>
      <c r="AAI43" s="71"/>
      <c r="AAJ43" s="71"/>
      <c r="AAK43" s="72"/>
      <c r="AAL43" s="85"/>
      <c r="AAM43" s="76"/>
      <c r="AAN43" s="76"/>
      <c r="AAO43" s="76"/>
      <c r="AAP43" s="76"/>
      <c r="AAQ43" s="77"/>
      <c r="AAR43" s="86"/>
      <c r="AAS43" s="82"/>
      <c r="AAT43" s="82"/>
      <c r="AAU43" s="82"/>
      <c r="AAV43" s="82"/>
      <c r="AAW43" s="84"/>
      <c r="AAX43" s="84"/>
      <c r="AAY43" s="84"/>
      <c r="AAZ43" s="72"/>
      <c r="ABA43" s="85"/>
      <c r="ABB43" s="72"/>
      <c r="ABC43" s="72"/>
      <c r="ABD43" s="85"/>
      <c r="ABE43" s="71"/>
      <c r="ABF43" s="71"/>
      <c r="ABG43" s="72"/>
      <c r="ABH43" s="85"/>
      <c r="ABI43" s="76"/>
      <c r="ABJ43" s="76"/>
      <c r="ABK43" s="76"/>
      <c r="ABL43" s="76"/>
      <c r="ABM43" s="77"/>
      <c r="ABN43" s="86"/>
      <c r="ABO43" s="82"/>
      <c r="ABP43" s="82"/>
      <c r="ABQ43" s="82"/>
      <c r="ABR43" s="82"/>
      <c r="ABS43" s="84"/>
      <c r="ABT43" s="84"/>
      <c r="ABU43" s="84"/>
      <c r="ABV43" s="72"/>
      <c r="ABW43" s="85"/>
      <c r="ABX43" s="72"/>
      <c r="ABY43" s="72"/>
      <c r="ABZ43" s="85"/>
      <c r="ACA43" s="71"/>
      <c r="ACB43" s="71"/>
      <c r="ACC43" s="72"/>
      <c r="ACD43" s="85"/>
      <c r="ACE43" s="76"/>
      <c r="ACF43" s="76"/>
      <c r="ACG43" s="76"/>
      <c r="ACH43" s="76"/>
      <c r="ACI43" s="77"/>
      <c r="ACJ43" s="86"/>
      <c r="ACK43" s="82"/>
      <c r="ACL43" s="82"/>
      <c r="ACM43" s="82"/>
      <c r="ACN43" s="82"/>
      <c r="ACO43" s="84"/>
      <c r="ACP43" s="84"/>
      <c r="ACQ43" s="84"/>
      <c r="ACR43" s="72"/>
      <c r="ACS43" s="85"/>
      <c r="ACT43" s="72"/>
      <c r="ACU43" s="72"/>
      <c r="ACV43" s="85"/>
      <c r="ACW43" s="71"/>
      <c r="ACX43" s="71"/>
      <c r="ACY43" s="72"/>
      <c r="ACZ43" s="85"/>
      <c r="ADA43" s="76"/>
      <c r="ADB43" s="76"/>
      <c r="ADC43" s="76"/>
      <c r="ADD43" s="76"/>
      <c r="ADE43" s="77"/>
      <c r="ADF43" s="86"/>
      <c r="ADG43" s="82"/>
      <c r="ADH43" s="82"/>
      <c r="ADI43" s="82"/>
      <c r="ADJ43" s="82"/>
      <c r="ADK43" s="84"/>
      <c r="ADL43" s="84"/>
      <c r="ADM43" s="84"/>
      <c r="ADN43" s="72"/>
      <c r="ADO43" s="85"/>
      <c r="ADP43" s="72"/>
      <c r="ADQ43" s="72"/>
      <c r="ADR43" s="85"/>
      <c r="ADS43" s="71"/>
      <c r="ADT43" s="71"/>
      <c r="ADU43" s="72"/>
      <c r="ADV43" s="85"/>
      <c r="ADW43" s="76"/>
      <c r="ADX43" s="76"/>
      <c r="ADY43" s="76"/>
      <c r="ADZ43" s="76"/>
      <c r="AEA43" s="77"/>
      <c r="AEB43" s="86"/>
      <c r="AEC43" s="82"/>
      <c r="AED43" s="82"/>
      <c r="AEE43" s="82"/>
      <c r="AEF43" s="82"/>
      <c r="AEG43" s="84"/>
      <c r="AEH43" s="84"/>
      <c r="AEI43" s="84"/>
      <c r="AEJ43" s="72"/>
      <c r="AEK43" s="85"/>
      <c r="AEL43" s="72"/>
      <c r="AEM43" s="72"/>
      <c r="AEN43" s="85"/>
      <c r="AEO43" s="71"/>
      <c r="AEP43" s="71"/>
      <c r="AEQ43" s="72"/>
      <c r="AER43" s="85"/>
      <c r="AES43" s="76"/>
      <c r="AET43" s="76"/>
      <c r="AEU43" s="76"/>
      <c r="AEV43" s="76"/>
      <c r="AEW43" s="77"/>
      <c r="AEX43" s="86"/>
      <c r="AEY43" s="82"/>
      <c r="AEZ43" s="82"/>
      <c r="AFA43" s="82"/>
      <c r="AFB43" s="82"/>
      <c r="AFC43" s="84"/>
      <c r="AFD43" s="84"/>
      <c r="AFE43" s="84"/>
      <c r="AFF43" s="72"/>
      <c r="AFG43" s="85"/>
      <c r="AFH43" s="72"/>
      <c r="AFI43" s="72"/>
      <c r="AFJ43" s="85"/>
      <c r="AFK43" s="71"/>
      <c r="AFL43" s="71"/>
      <c r="AFM43" s="72"/>
      <c r="AFN43" s="85"/>
      <c r="AFO43" s="76"/>
      <c r="AFP43" s="76"/>
      <c r="AFQ43" s="76"/>
      <c r="AFR43" s="76"/>
      <c r="AFS43" s="77"/>
      <c r="AFT43" s="86"/>
      <c r="AFU43" s="82"/>
      <c r="AFV43" s="82"/>
      <c r="AFW43" s="82"/>
      <c r="AFX43" s="82"/>
      <c r="AFY43" s="84"/>
      <c r="AFZ43" s="84"/>
      <c r="AGA43" s="84"/>
      <c r="AGB43" s="72"/>
      <c r="AGC43" s="85"/>
      <c r="AGD43" s="72"/>
      <c r="AGE43" s="72"/>
      <c r="AGF43" s="85"/>
      <c r="AGG43" s="71"/>
      <c r="AGH43" s="71"/>
      <c r="AGI43" s="72"/>
      <c r="AGJ43" s="85"/>
      <c r="AGK43" s="76"/>
      <c r="AGL43" s="76"/>
      <c r="AGM43" s="76"/>
      <c r="AGN43" s="76"/>
      <c r="AGO43" s="77"/>
      <c r="AGP43" s="86"/>
      <c r="AGQ43" s="82"/>
      <c r="AGR43" s="82"/>
      <c r="AGS43" s="82"/>
      <c r="AGT43" s="82"/>
      <c r="AGU43" s="84"/>
      <c r="AGV43" s="84"/>
      <c r="AGW43" s="84"/>
      <c r="AGX43" s="72"/>
      <c r="AGY43" s="85"/>
      <c r="AGZ43" s="72"/>
      <c r="AHA43" s="72"/>
      <c r="AHB43" s="85"/>
      <c r="AHC43" s="71"/>
      <c r="AHD43" s="71"/>
      <c r="AHE43" s="72"/>
      <c r="AHF43" s="85"/>
      <c r="AHG43" s="76"/>
      <c r="AHH43" s="76"/>
      <c r="AHI43" s="76"/>
      <c r="AHJ43" s="76"/>
      <c r="AHK43" s="77"/>
      <c r="AHL43" s="86"/>
      <c r="AHM43" s="82"/>
      <c r="AHN43" s="82"/>
      <c r="AHO43" s="82"/>
      <c r="AHP43" s="82"/>
      <c r="AHQ43" s="84"/>
      <c r="AHR43" s="84"/>
      <c r="AHS43" s="84"/>
      <c r="AHT43" s="72"/>
      <c r="AHU43" s="85"/>
      <c r="AHV43" s="72"/>
      <c r="AHW43" s="72"/>
      <c r="AHX43" s="85"/>
      <c r="AHY43" s="71"/>
      <c r="AHZ43" s="71"/>
      <c r="AIA43" s="72"/>
      <c r="AIB43" s="85"/>
      <c r="AIC43" s="76"/>
      <c r="AID43" s="76"/>
      <c r="AIE43" s="76"/>
      <c r="AIF43" s="76"/>
      <c r="AIG43" s="77"/>
      <c r="AIH43" s="86"/>
      <c r="AII43" s="82"/>
      <c r="AIJ43" s="82"/>
      <c r="AIK43" s="82"/>
      <c r="AIL43" s="82"/>
      <c r="AIM43" s="84"/>
      <c r="AIN43" s="84"/>
      <c r="AIO43" s="84"/>
      <c r="AIP43" s="72"/>
      <c r="AIQ43" s="85"/>
      <c r="AIR43" s="72"/>
      <c r="AIS43" s="72"/>
      <c r="AIT43" s="85"/>
      <c r="AIU43" s="71"/>
      <c r="AIV43" s="71"/>
      <c r="AIW43" s="72"/>
      <c r="AIX43" s="85"/>
      <c r="AIY43" s="76"/>
      <c r="AIZ43" s="76"/>
      <c r="AJA43" s="76"/>
      <c r="AJB43" s="76"/>
      <c r="AJC43" s="77"/>
      <c r="AJD43" s="86"/>
      <c r="AJE43" s="82"/>
      <c r="AJF43" s="82"/>
      <c r="AJG43" s="82"/>
      <c r="AJH43" s="82"/>
      <c r="AJI43" s="84"/>
      <c r="AJJ43" s="84"/>
      <c r="AJK43" s="84"/>
      <c r="AJL43" s="72"/>
      <c r="AJM43" s="85"/>
      <c r="AJN43" s="72"/>
      <c r="AJO43" s="72"/>
      <c r="AJP43" s="85"/>
      <c r="AJQ43" s="71"/>
      <c r="AJR43" s="71"/>
      <c r="AJS43" s="72"/>
      <c r="AJT43" s="85"/>
      <c r="AJU43" s="76"/>
      <c r="AJV43" s="76"/>
      <c r="AJW43" s="76"/>
      <c r="AJX43" s="76"/>
      <c r="AJY43" s="77"/>
      <c r="AJZ43" s="86"/>
      <c r="AKA43" s="82"/>
      <c r="AKB43" s="82"/>
      <c r="AKC43" s="82"/>
      <c r="AKD43" s="82"/>
      <c r="AKE43" s="84"/>
      <c r="AKF43" s="84"/>
      <c r="AKG43" s="84"/>
      <c r="AKH43" s="72"/>
      <c r="AKI43" s="85"/>
      <c r="AKJ43" s="72"/>
      <c r="AKK43" s="72"/>
      <c r="AKL43" s="85"/>
      <c r="AKM43" s="71"/>
      <c r="AKN43" s="71"/>
      <c r="AKO43" s="72"/>
      <c r="AKP43" s="85"/>
      <c r="AKQ43" s="76"/>
      <c r="AKR43" s="76"/>
      <c r="AKS43" s="76"/>
      <c r="AKT43" s="76"/>
      <c r="AKU43" s="77"/>
      <c r="AKV43" s="86"/>
      <c r="AKW43" s="82"/>
      <c r="AKX43" s="82"/>
      <c r="AKY43" s="82"/>
      <c r="AKZ43" s="82"/>
      <c r="ALA43" s="84"/>
      <c r="ALB43" s="84"/>
      <c r="ALC43" s="84"/>
      <c r="ALD43" s="72"/>
      <c r="ALE43" s="85"/>
      <c r="ALF43" s="72"/>
      <c r="ALG43" s="72"/>
      <c r="ALH43" s="85"/>
      <c r="ALI43" s="71"/>
      <c r="ALJ43" s="71"/>
      <c r="ALK43" s="72"/>
      <c r="ALL43" s="85"/>
      <c r="ALM43" s="76"/>
      <c r="ALN43" s="76"/>
      <c r="ALO43" s="76"/>
      <c r="ALP43" s="76"/>
      <c r="ALQ43" s="77"/>
      <c r="ALR43" s="86"/>
      <c r="ALS43" s="82"/>
      <c r="ALT43" s="82"/>
      <c r="ALU43" s="82"/>
      <c r="ALV43" s="82"/>
      <c r="ALW43" s="84"/>
      <c r="ALX43" s="84"/>
      <c r="ALY43" s="84"/>
      <c r="ALZ43" s="72"/>
      <c r="AMA43" s="85"/>
      <c r="AMB43" s="72"/>
      <c r="AMC43" s="72"/>
      <c r="AMD43" s="85"/>
      <c r="AME43" s="71"/>
      <c r="AMF43" s="71"/>
      <c r="AMG43" s="72"/>
      <c r="AMH43" s="85"/>
      <c r="AMI43" s="76"/>
      <c r="AMJ43" s="76"/>
      <c r="AMK43" s="76"/>
      <c r="AML43" s="76"/>
      <c r="AMM43" s="77"/>
      <c r="AMN43" s="86"/>
      <c r="AMO43" s="82"/>
      <c r="AMP43" s="82"/>
      <c r="AMQ43" s="82"/>
      <c r="AMR43" s="82"/>
      <c r="AMS43" s="84"/>
      <c r="AMT43" s="84"/>
      <c r="AMU43" s="84"/>
      <c r="AMV43" s="72"/>
      <c r="AMW43" s="85"/>
      <c r="AMX43" s="72"/>
      <c r="AMY43" s="72"/>
      <c r="AMZ43" s="85"/>
      <c r="ANA43" s="71"/>
      <c r="ANB43" s="71"/>
      <c r="ANC43" s="72"/>
      <c r="AND43" s="85"/>
      <c r="ANE43" s="76"/>
      <c r="ANF43" s="76"/>
      <c r="ANG43" s="76"/>
      <c r="ANH43" s="76"/>
      <c r="ANI43" s="77"/>
      <c r="ANJ43" s="86"/>
      <c r="ANK43" s="82"/>
      <c r="ANL43" s="82"/>
      <c r="ANM43" s="82"/>
      <c r="ANN43" s="82"/>
      <c r="ANO43" s="84"/>
      <c r="ANP43" s="84"/>
      <c r="ANQ43" s="84"/>
      <c r="ANR43" s="72"/>
      <c r="ANS43" s="85"/>
      <c r="ANT43" s="72"/>
      <c r="ANU43" s="72"/>
      <c r="ANV43" s="85"/>
      <c r="ANW43" s="71"/>
      <c r="ANX43" s="71"/>
      <c r="ANY43" s="72"/>
      <c r="ANZ43" s="85"/>
      <c r="AOA43" s="76"/>
      <c r="AOB43" s="76"/>
      <c r="AOC43" s="76"/>
      <c r="AOD43" s="76"/>
      <c r="AOE43" s="77"/>
      <c r="AOF43" s="86"/>
      <c r="AOG43" s="82"/>
      <c r="AOH43" s="82"/>
      <c r="AOI43" s="82"/>
      <c r="AOJ43" s="82"/>
      <c r="AOK43" s="84"/>
      <c r="AOL43" s="84"/>
      <c r="AOM43" s="84"/>
      <c r="AON43" s="72"/>
      <c r="AOO43" s="85"/>
      <c r="AOP43" s="72"/>
      <c r="AOQ43" s="72"/>
      <c r="AOR43" s="85"/>
      <c r="AOS43" s="71"/>
      <c r="AOT43" s="71"/>
      <c r="AOU43" s="72"/>
      <c r="AOV43" s="85"/>
      <c r="AOW43" s="76"/>
      <c r="AOX43" s="76"/>
      <c r="AOY43" s="76"/>
      <c r="AOZ43" s="76"/>
      <c r="APA43" s="77"/>
      <c r="APB43" s="86"/>
      <c r="APC43" s="82"/>
      <c r="APD43" s="82"/>
      <c r="APE43" s="82"/>
      <c r="APF43" s="82"/>
      <c r="APG43" s="84"/>
      <c r="APH43" s="84"/>
      <c r="API43" s="84"/>
      <c r="APJ43" s="72"/>
      <c r="APK43" s="85"/>
      <c r="APL43" s="72"/>
      <c r="APM43" s="72"/>
      <c r="APN43" s="85"/>
      <c r="APO43" s="71"/>
      <c r="APP43" s="71"/>
      <c r="APQ43" s="72"/>
      <c r="APR43" s="85"/>
      <c r="APS43" s="76"/>
      <c r="APT43" s="76"/>
      <c r="APU43" s="76"/>
      <c r="APV43" s="76"/>
      <c r="APW43" s="77"/>
      <c r="APX43" s="86"/>
      <c r="APY43" s="82"/>
      <c r="APZ43" s="82"/>
      <c r="AQA43" s="82"/>
      <c r="AQB43" s="82"/>
      <c r="AQC43" s="84"/>
      <c r="AQD43" s="84"/>
      <c r="AQE43" s="84"/>
      <c r="AQF43" s="72"/>
      <c r="AQG43" s="85"/>
      <c r="AQH43" s="72"/>
      <c r="AQI43" s="72"/>
      <c r="AQJ43" s="85"/>
      <c r="AQK43" s="71"/>
      <c r="AQL43" s="71"/>
      <c r="AQM43" s="72"/>
      <c r="AQN43" s="85"/>
      <c r="AQO43" s="76"/>
      <c r="AQP43" s="76"/>
      <c r="AQQ43" s="76"/>
      <c r="AQR43" s="76"/>
      <c r="AQS43" s="77"/>
      <c r="AQT43" s="86"/>
      <c r="AQU43" s="82"/>
      <c r="AQV43" s="82"/>
      <c r="AQW43" s="82"/>
      <c r="AQX43" s="82"/>
      <c r="AQY43" s="84"/>
      <c r="AQZ43" s="84"/>
      <c r="ARA43" s="84"/>
      <c r="ARB43" s="72"/>
      <c r="ARC43" s="85"/>
      <c r="ARD43" s="72"/>
      <c r="ARE43" s="72"/>
      <c r="ARF43" s="85"/>
      <c r="ARG43" s="71"/>
      <c r="ARH43" s="71"/>
      <c r="ARI43" s="72"/>
      <c r="ARJ43" s="85"/>
      <c r="ARK43" s="76"/>
      <c r="ARL43" s="76"/>
      <c r="ARM43" s="76"/>
      <c r="ARN43" s="76"/>
      <c r="ARO43" s="77"/>
      <c r="ARP43" s="86"/>
      <c r="ARQ43" s="82"/>
      <c r="ARR43" s="82"/>
      <c r="ARS43" s="82"/>
      <c r="ART43" s="82"/>
      <c r="ARU43" s="84"/>
      <c r="ARV43" s="84"/>
      <c r="ARW43" s="84"/>
      <c r="ARX43" s="72"/>
      <c r="ARY43" s="85"/>
      <c r="ARZ43" s="72"/>
      <c r="ASA43" s="72"/>
      <c r="ASB43" s="85"/>
      <c r="ASC43" s="71"/>
      <c r="ASD43" s="71"/>
      <c r="ASE43" s="72"/>
      <c r="ASF43" s="85"/>
      <c r="ASG43" s="76"/>
      <c r="ASH43" s="76"/>
      <c r="ASI43" s="76"/>
      <c r="ASJ43" s="76"/>
      <c r="ASK43" s="77"/>
      <c r="ASL43" s="86"/>
      <c r="ASM43" s="82"/>
      <c r="ASN43" s="82"/>
      <c r="ASO43" s="82"/>
      <c r="ASP43" s="82"/>
      <c r="ASQ43" s="84"/>
      <c r="ASR43" s="84"/>
      <c r="ASS43" s="84"/>
      <c r="AST43" s="72"/>
      <c r="ASU43" s="85"/>
      <c r="ASV43" s="72"/>
      <c r="ASW43" s="72"/>
      <c r="ASX43" s="85"/>
      <c r="ASY43" s="71"/>
      <c r="ASZ43" s="71"/>
      <c r="ATA43" s="72"/>
      <c r="ATB43" s="85"/>
      <c r="ATC43" s="76"/>
      <c r="ATD43" s="76"/>
      <c r="ATE43" s="76"/>
      <c r="ATF43" s="76"/>
      <c r="ATG43" s="77"/>
      <c r="ATH43" s="86"/>
      <c r="ATI43" s="82"/>
      <c r="ATJ43" s="82"/>
      <c r="ATK43" s="82"/>
      <c r="ATL43" s="82"/>
      <c r="ATM43" s="84"/>
      <c r="ATN43" s="84"/>
      <c r="ATO43" s="84"/>
      <c r="ATP43" s="72"/>
      <c r="ATQ43" s="85"/>
      <c r="ATR43" s="72"/>
      <c r="ATS43" s="72"/>
      <c r="ATT43" s="85"/>
      <c r="ATU43" s="71"/>
      <c r="ATV43" s="71"/>
      <c r="ATW43" s="72"/>
      <c r="ATX43" s="85"/>
      <c r="ATY43" s="76"/>
      <c r="ATZ43" s="76"/>
      <c r="AUA43" s="76"/>
      <c r="AUB43" s="76"/>
      <c r="AUC43" s="77"/>
      <c r="AUD43" s="86"/>
      <c r="AUE43" s="82"/>
      <c r="AUF43" s="82"/>
      <c r="AUG43" s="82"/>
      <c r="AUH43" s="82"/>
      <c r="AUI43" s="84"/>
      <c r="AUJ43" s="84"/>
      <c r="AUK43" s="84"/>
      <c r="AUL43" s="72"/>
      <c r="AUM43" s="85"/>
      <c r="AUN43" s="72"/>
      <c r="AUO43" s="72"/>
      <c r="AUP43" s="85"/>
      <c r="AUQ43" s="71"/>
      <c r="AUR43" s="71"/>
      <c r="AUS43" s="72"/>
      <c r="AUT43" s="85"/>
      <c r="AUU43" s="76"/>
      <c r="AUV43" s="76"/>
      <c r="AUW43" s="76"/>
      <c r="AUX43" s="76"/>
      <c r="AUY43" s="77"/>
      <c r="AUZ43" s="86"/>
      <c r="AVA43" s="82"/>
      <c r="AVB43" s="82"/>
      <c r="AVC43" s="82"/>
      <c r="AVD43" s="82"/>
      <c r="AVE43" s="84"/>
      <c r="AVF43" s="84"/>
      <c r="AVG43" s="84"/>
      <c r="AVH43" s="72"/>
      <c r="AVI43" s="85"/>
      <c r="AVJ43" s="72"/>
      <c r="AVK43" s="72"/>
      <c r="AVL43" s="85"/>
      <c r="AVM43" s="71"/>
      <c r="AVN43" s="71"/>
      <c r="AVO43" s="72"/>
      <c r="AVP43" s="85"/>
      <c r="AVQ43" s="76"/>
      <c r="AVR43" s="76"/>
      <c r="AVS43" s="76"/>
      <c r="AVT43" s="76"/>
      <c r="AVU43" s="77"/>
      <c r="AVV43" s="86"/>
      <c r="AVW43" s="82"/>
      <c r="AVX43" s="82"/>
      <c r="AVY43" s="82"/>
      <c r="AVZ43" s="82"/>
      <c r="AWA43" s="84"/>
      <c r="AWB43" s="84"/>
      <c r="AWC43" s="84"/>
      <c r="AWD43" s="72"/>
      <c r="AWE43" s="85"/>
      <c r="AWF43" s="72"/>
      <c r="AWG43" s="72"/>
      <c r="AWH43" s="85"/>
      <c r="AWI43" s="71"/>
      <c r="AWJ43" s="71"/>
      <c r="AWK43" s="72"/>
      <c r="AWL43" s="85"/>
      <c r="AWM43" s="76"/>
      <c r="AWN43" s="76"/>
      <c r="AWO43" s="76"/>
      <c r="AWP43" s="76"/>
      <c r="AWQ43" s="77"/>
      <c r="AWR43" s="86"/>
      <c r="AWS43" s="82"/>
      <c r="AWT43" s="82"/>
      <c r="AWU43" s="82"/>
      <c r="AWV43" s="82"/>
      <c r="AWW43" s="84"/>
      <c r="AWX43" s="84"/>
      <c r="AWY43" s="84"/>
      <c r="AWZ43" s="72"/>
      <c r="AXA43" s="85"/>
      <c r="AXB43" s="72"/>
      <c r="AXC43" s="72"/>
      <c r="AXD43" s="85"/>
      <c r="AXE43" s="71"/>
      <c r="AXF43" s="71"/>
      <c r="AXG43" s="72"/>
      <c r="AXH43" s="85"/>
      <c r="AXI43" s="76"/>
      <c r="AXJ43" s="76"/>
      <c r="AXK43" s="76"/>
      <c r="AXL43" s="76"/>
      <c r="AXM43" s="77"/>
      <c r="AXN43" s="86"/>
      <c r="AXO43" s="82"/>
      <c r="AXP43" s="82"/>
      <c r="AXQ43" s="82"/>
      <c r="AXR43" s="82"/>
      <c r="AXS43" s="84"/>
      <c r="AXT43" s="84"/>
      <c r="AXU43" s="84"/>
      <c r="AXV43" s="72"/>
      <c r="AXW43" s="85"/>
      <c r="AXX43" s="72"/>
      <c r="AXY43" s="72"/>
      <c r="AXZ43" s="85"/>
      <c r="AYA43" s="71"/>
      <c r="AYB43" s="71"/>
      <c r="AYC43" s="72"/>
      <c r="AYD43" s="85"/>
      <c r="AYE43" s="76"/>
      <c r="AYF43" s="76"/>
      <c r="AYG43" s="76"/>
      <c r="AYH43" s="76"/>
      <c r="AYI43" s="77"/>
      <c r="AYJ43" s="86"/>
      <c r="AYK43" s="82"/>
      <c r="AYL43" s="82"/>
      <c r="AYM43" s="82"/>
      <c r="AYN43" s="82"/>
      <c r="AYO43" s="84"/>
      <c r="AYP43" s="84"/>
      <c r="AYQ43" s="84"/>
      <c r="AYR43" s="72"/>
      <c r="AYS43" s="85"/>
      <c r="AYT43" s="72"/>
      <c r="AYU43" s="72"/>
      <c r="AYV43" s="85"/>
      <c r="AYW43" s="71"/>
      <c r="AYX43" s="71"/>
      <c r="AYY43" s="72"/>
      <c r="AYZ43" s="85"/>
      <c r="AZA43" s="76"/>
      <c r="AZB43" s="76"/>
      <c r="AZC43" s="76"/>
      <c r="AZD43" s="76"/>
      <c r="AZE43" s="77"/>
      <c r="AZF43" s="86"/>
      <c r="AZG43" s="82"/>
      <c r="AZH43" s="82"/>
      <c r="AZI43" s="82"/>
      <c r="AZJ43" s="82"/>
      <c r="AZK43" s="84"/>
      <c r="AZL43" s="84"/>
      <c r="AZM43" s="84"/>
      <c r="AZN43" s="72"/>
      <c r="AZO43" s="85"/>
      <c r="AZP43" s="72"/>
      <c r="AZQ43" s="72"/>
      <c r="AZR43" s="85"/>
      <c r="AZS43" s="71"/>
      <c r="AZT43" s="71"/>
      <c r="AZU43" s="72"/>
      <c r="AZV43" s="85"/>
      <c r="AZW43" s="76"/>
      <c r="AZX43" s="76"/>
      <c r="AZY43" s="76"/>
      <c r="AZZ43" s="76"/>
      <c r="BAA43" s="77"/>
      <c r="BAB43" s="86"/>
      <c r="BAC43" s="82"/>
      <c r="BAD43" s="82"/>
      <c r="BAE43" s="82"/>
      <c r="BAF43" s="82"/>
      <c r="BAG43" s="84"/>
      <c r="BAH43" s="84"/>
      <c r="BAI43" s="84"/>
      <c r="BAJ43" s="72"/>
      <c r="BAK43" s="85"/>
      <c r="BAL43" s="72"/>
      <c r="BAM43" s="72"/>
      <c r="BAN43" s="85"/>
      <c r="BAO43" s="71"/>
      <c r="BAP43" s="71"/>
      <c r="BAQ43" s="72"/>
      <c r="BAR43" s="85"/>
      <c r="BAS43" s="76"/>
      <c r="BAT43" s="76"/>
      <c r="BAU43" s="76"/>
      <c r="BAV43" s="76"/>
      <c r="BAW43" s="77"/>
      <c r="BAX43" s="86"/>
      <c r="BAY43" s="82"/>
      <c r="BAZ43" s="82"/>
      <c r="BBA43" s="82"/>
      <c r="BBB43" s="82"/>
      <c r="BBC43" s="84"/>
      <c r="BBD43" s="84"/>
      <c r="BBE43" s="84"/>
      <c r="BBF43" s="72"/>
      <c r="BBG43" s="85"/>
      <c r="BBH43" s="72"/>
      <c r="BBI43" s="72"/>
      <c r="BBJ43" s="85"/>
      <c r="BBK43" s="71"/>
      <c r="BBL43" s="71"/>
      <c r="BBM43" s="72"/>
      <c r="BBN43" s="85"/>
      <c r="BBO43" s="76"/>
      <c r="BBP43" s="76"/>
      <c r="BBQ43" s="76"/>
      <c r="BBR43" s="76"/>
      <c r="BBS43" s="77"/>
      <c r="BBT43" s="86"/>
      <c r="BBU43" s="82"/>
      <c r="BBV43" s="82"/>
      <c r="BBW43" s="82"/>
      <c r="BBX43" s="82"/>
      <c r="BBY43" s="84"/>
      <c r="BBZ43" s="84"/>
      <c r="BCA43" s="84"/>
      <c r="BCB43" s="72"/>
      <c r="BCC43" s="85"/>
      <c r="BCD43" s="72"/>
      <c r="BCE43" s="72"/>
      <c r="BCF43" s="85"/>
      <c r="BCG43" s="71"/>
      <c r="BCH43" s="71"/>
      <c r="BCI43" s="72"/>
      <c r="BCJ43" s="85"/>
      <c r="BCK43" s="76"/>
      <c r="BCL43" s="76"/>
      <c r="BCM43" s="76"/>
      <c r="BCN43" s="76"/>
      <c r="BCO43" s="77"/>
      <c r="BCP43" s="86"/>
      <c r="BCQ43" s="82"/>
      <c r="BCR43" s="82"/>
      <c r="BCS43" s="82"/>
      <c r="BCT43" s="82"/>
      <c r="BCU43" s="84"/>
      <c r="BCV43" s="84"/>
      <c r="BCW43" s="84"/>
      <c r="BCX43" s="72"/>
      <c r="BCY43" s="85"/>
      <c r="BCZ43" s="72"/>
      <c r="BDA43" s="72"/>
      <c r="BDB43" s="85"/>
      <c r="BDC43" s="71"/>
      <c r="BDD43" s="71"/>
      <c r="BDE43" s="72"/>
      <c r="BDF43" s="85"/>
      <c r="BDG43" s="76"/>
      <c r="BDH43" s="76"/>
      <c r="BDI43" s="76"/>
      <c r="BDJ43" s="76"/>
      <c r="BDK43" s="77"/>
      <c r="BDL43" s="86"/>
      <c r="BDM43" s="82"/>
      <c r="BDN43" s="82"/>
      <c r="BDO43" s="82"/>
      <c r="BDP43" s="82"/>
      <c r="BDQ43" s="84"/>
      <c r="BDR43" s="84"/>
      <c r="BDS43" s="84"/>
      <c r="BDT43" s="72"/>
      <c r="BDU43" s="85"/>
      <c r="BDV43" s="72"/>
      <c r="BDW43" s="72"/>
      <c r="BDX43" s="85"/>
      <c r="BDY43" s="71"/>
      <c r="BDZ43" s="71"/>
      <c r="BEA43" s="72"/>
      <c r="BEB43" s="85"/>
      <c r="BEC43" s="76"/>
      <c r="BED43" s="76"/>
      <c r="BEE43" s="76"/>
      <c r="BEF43" s="76"/>
      <c r="BEG43" s="77"/>
      <c r="BEH43" s="86"/>
      <c r="BEI43" s="82"/>
      <c r="BEJ43" s="82"/>
      <c r="BEK43" s="82"/>
      <c r="BEL43" s="82"/>
      <c r="BEM43" s="84"/>
      <c r="BEN43" s="84"/>
      <c r="BEO43" s="84"/>
      <c r="BEP43" s="72"/>
      <c r="BEQ43" s="85"/>
      <c r="BER43" s="72"/>
      <c r="BES43" s="72"/>
      <c r="BET43" s="85"/>
      <c r="BEU43" s="71"/>
      <c r="BEV43" s="71"/>
      <c r="BEW43" s="72"/>
      <c r="BEX43" s="85"/>
      <c r="BEY43" s="76"/>
      <c r="BEZ43" s="76"/>
      <c r="BFA43" s="76"/>
      <c r="BFB43" s="76"/>
      <c r="BFC43" s="77"/>
      <c r="BFD43" s="86"/>
      <c r="BFE43" s="82"/>
      <c r="BFF43" s="82"/>
      <c r="BFG43" s="82"/>
      <c r="BFH43" s="82"/>
      <c r="BFI43" s="84"/>
      <c r="BFJ43" s="84"/>
      <c r="BFK43" s="84"/>
      <c r="BFL43" s="72"/>
      <c r="BFM43" s="85"/>
      <c r="BFN43" s="72"/>
      <c r="BFO43" s="72"/>
      <c r="BFP43" s="85"/>
      <c r="BFQ43" s="71"/>
      <c r="BFR43" s="71"/>
      <c r="BFS43" s="72"/>
      <c r="BFT43" s="85"/>
      <c r="BFU43" s="76"/>
      <c r="BFV43" s="76"/>
      <c r="BFW43" s="76"/>
      <c r="BFX43" s="76"/>
      <c r="BFY43" s="77"/>
      <c r="BFZ43" s="86"/>
      <c r="BGA43" s="82"/>
      <c r="BGB43" s="82"/>
      <c r="BGC43" s="82"/>
      <c r="BGD43" s="82"/>
      <c r="BGE43" s="84"/>
      <c r="BGF43" s="84"/>
      <c r="BGG43" s="84"/>
      <c r="BGH43" s="72"/>
      <c r="BGI43" s="85"/>
      <c r="BGJ43" s="72"/>
      <c r="BGK43" s="72"/>
      <c r="BGL43" s="85"/>
      <c r="BGM43" s="71"/>
      <c r="BGN43" s="71"/>
      <c r="BGO43" s="72"/>
      <c r="BGP43" s="85"/>
      <c r="BGQ43" s="76"/>
      <c r="BGR43" s="76"/>
      <c r="BGS43" s="76"/>
      <c r="BGT43" s="76"/>
      <c r="BGU43" s="77"/>
      <c r="BGV43" s="86"/>
      <c r="BGW43" s="82"/>
      <c r="BGX43" s="82"/>
      <c r="BGY43" s="82"/>
      <c r="BGZ43" s="82"/>
      <c r="BHA43" s="84"/>
      <c r="BHB43" s="84"/>
      <c r="BHC43" s="84"/>
      <c r="BHD43" s="72"/>
      <c r="BHE43" s="85"/>
      <c r="BHF43" s="72"/>
      <c r="BHG43" s="72"/>
      <c r="BHH43" s="85"/>
      <c r="BHI43" s="71"/>
      <c r="BHJ43" s="71"/>
      <c r="BHK43" s="72"/>
      <c r="BHL43" s="85"/>
      <c r="BHM43" s="76"/>
      <c r="BHN43" s="76"/>
      <c r="BHO43" s="76"/>
      <c r="BHP43" s="76"/>
      <c r="BHQ43" s="77"/>
      <c r="BHR43" s="86"/>
      <c r="BHS43" s="82"/>
      <c r="BHT43" s="82"/>
      <c r="BHU43" s="82"/>
      <c r="BHV43" s="82"/>
      <c r="BHW43" s="84"/>
      <c r="BHX43" s="84"/>
      <c r="BHY43" s="84"/>
      <c r="BHZ43" s="72"/>
      <c r="BIA43" s="85"/>
      <c r="BIB43" s="72"/>
      <c r="BIC43" s="72"/>
      <c r="BID43" s="85"/>
      <c r="BIE43" s="71"/>
      <c r="BIF43" s="71"/>
      <c r="BIG43" s="72"/>
      <c r="BIH43" s="85"/>
      <c r="BII43" s="76"/>
      <c r="BIJ43" s="76"/>
      <c r="BIK43" s="76"/>
      <c r="BIL43" s="76"/>
      <c r="BIM43" s="77"/>
      <c r="BIN43" s="86"/>
      <c r="BIO43" s="82"/>
      <c r="BIP43" s="82"/>
      <c r="BIQ43" s="82"/>
      <c r="BIR43" s="82"/>
      <c r="BIS43" s="84"/>
      <c r="BIT43" s="84"/>
      <c r="BIU43" s="84"/>
      <c r="BIV43" s="72"/>
      <c r="BIW43" s="85"/>
      <c r="BIX43" s="72"/>
      <c r="BIY43" s="72"/>
      <c r="BIZ43" s="85"/>
      <c r="BJA43" s="71"/>
      <c r="BJB43" s="71"/>
      <c r="BJC43" s="72"/>
      <c r="BJD43" s="85"/>
      <c r="BJE43" s="76"/>
      <c r="BJF43" s="76"/>
      <c r="BJG43" s="76"/>
      <c r="BJH43" s="76"/>
      <c r="BJI43" s="77"/>
      <c r="BJJ43" s="86"/>
      <c r="BJK43" s="82"/>
      <c r="BJL43" s="82"/>
      <c r="BJM43" s="82"/>
      <c r="BJN43" s="82"/>
      <c r="BJO43" s="84"/>
      <c r="BJP43" s="84"/>
      <c r="BJQ43" s="84"/>
      <c r="BJR43" s="72"/>
      <c r="BJS43" s="85"/>
      <c r="BJT43" s="72"/>
      <c r="BJU43" s="72"/>
      <c r="BJV43" s="85"/>
      <c r="BJW43" s="71"/>
      <c r="BJX43" s="71"/>
      <c r="BJY43" s="72"/>
      <c r="BJZ43" s="85"/>
      <c r="BKA43" s="76"/>
      <c r="BKB43" s="76"/>
      <c r="BKC43" s="76"/>
      <c r="BKD43" s="76"/>
      <c r="BKE43" s="77"/>
      <c r="BKF43" s="86"/>
      <c r="BKG43" s="82"/>
      <c r="BKH43" s="82"/>
      <c r="BKI43" s="82"/>
      <c r="BKJ43" s="82"/>
      <c r="BKK43" s="84"/>
      <c r="BKL43" s="84"/>
      <c r="BKM43" s="84"/>
      <c r="BKN43" s="72"/>
      <c r="BKO43" s="85"/>
      <c r="BKP43" s="72"/>
      <c r="BKQ43" s="72"/>
      <c r="BKR43" s="85"/>
      <c r="BKS43" s="71"/>
      <c r="BKT43" s="71"/>
      <c r="BKU43" s="72"/>
      <c r="BKV43" s="85"/>
      <c r="BKW43" s="76"/>
      <c r="BKX43" s="76"/>
      <c r="BKY43" s="76"/>
      <c r="BKZ43" s="76"/>
      <c r="BLA43" s="77"/>
      <c r="BLB43" s="86"/>
      <c r="BLC43" s="82"/>
      <c r="BLD43" s="82"/>
      <c r="BLE43" s="82"/>
      <c r="BLF43" s="82"/>
      <c r="BLG43" s="84"/>
      <c r="BLH43" s="84"/>
      <c r="BLI43" s="84"/>
      <c r="BLJ43" s="72"/>
      <c r="BLK43" s="85"/>
      <c r="BLL43" s="72"/>
      <c r="BLM43" s="72"/>
      <c r="BLN43" s="85"/>
      <c r="BLO43" s="71"/>
      <c r="BLP43" s="71"/>
      <c r="BLQ43" s="72"/>
      <c r="BLR43" s="85"/>
      <c r="BLS43" s="76"/>
      <c r="BLT43" s="76"/>
      <c r="BLU43" s="76"/>
      <c r="BLV43" s="76"/>
      <c r="BLW43" s="77"/>
      <c r="BLX43" s="86"/>
      <c r="BLY43" s="82"/>
      <c r="BLZ43" s="82"/>
      <c r="BMA43" s="82"/>
      <c r="BMB43" s="82"/>
      <c r="BMC43" s="84"/>
      <c r="BMD43" s="84"/>
      <c r="BME43" s="84"/>
      <c r="BMF43" s="72"/>
      <c r="BMG43" s="85"/>
      <c r="BMH43" s="72"/>
      <c r="BMI43" s="72"/>
      <c r="BMJ43" s="85"/>
      <c r="BMK43" s="71"/>
      <c r="BML43" s="71"/>
      <c r="BMM43" s="72"/>
      <c r="BMN43" s="85"/>
      <c r="BMO43" s="76"/>
      <c r="BMP43" s="76"/>
      <c r="BMQ43" s="76"/>
      <c r="BMR43" s="76"/>
      <c r="BMS43" s="77"/>
      <c r="BMT43" s="86"/>
      <c r="BMU43" s="82"/>
      <c r="BMV43" s="82"/>
      <c r="BMW43" s="82"/>
      <c r="BMX43" s="82"/>
      <c r="BMY43" s="84"/>
      <c r="BMZ43" s="84"/>
      <c r="BNA43" s="84"/>
      <c r="BNB43" s="72"/>
      <c r="BNC43" s="85"/>
      <c r="BND43" s="72"/>
      <c r="BNE43" s="72"/>
      <c r="BNF43" s="85"/>
      <c r="BNG43" s="71"/>
      <c r="BNH43" s="71"/>
      <c r="BNI43" s="72"/>
      <c r="BNJ43" s="85"/>
      <c r="BNK43" s="76"/>
      <c r="BNL43" s="76"/>
      <c r="BNM43" s="76"/>
      <c r="BNN43" s="76"/>
      <c r="BNO43" s="77"/>
      <c r="BNP43" s="86"/>
      <c r="BNQ43" s="82"/>
      <c r="BNR43" s="82"/>
      <c r="BNS43" s="82"/>
      <c r="BNT43" s="82"/>
      <c r="BNU43" s="84"/>
      <c r="BNV43" s="84"/>
      <c r="BNW43" s="84"/>
      <c r="BNX43" s="72"/>
      <c r="BNY43" s="85"/>
      <c r="BNZ43" s="72"/>
      <c r="BOA43" s="72"/>
      <c r="BOB43" s="85"/>
      <c r="BOC43" s="71"/>
      <c r="BOD43" s="71"/>
      <c r="BOE43" s="72"/>
      <c r="BOF43" s="85"/>
      <c r="BOG43" s="76"/>
      <c r="BOH43" s="76"/>
      <c r="BOI43" s="76"/>
      <c r="BOJ43" s="76"/>
      <c r="BOK43" s="77"/>
      <c r="BOL43" s="86"/>
      <c r="BOM43" s="82"/>
      <c r="BON43" s="82"/>
      <c r="BOO43" s="82"/>
      <c r="BOP43" s="82"/>
      <c r="BOQ43" s="84"/>
      <c r="BOR43" s="84"/>
      <c r="BOS43" s="84"/>
      <c r="BOT43" s="72"/>
      <c r="BOU43" s="85"/>
      <c r="BOV43" s="72"/>
      <c r="BOW43" s="72"/>
      <c r="BOX43" s="85"/>
      <c r="BOY43" s="71"/>
      <c r="BOZ43" s="71"/>
      <c r="BPA43" s="72"/>
      <c r="BPB43" s="85"/>
      <c r="BPC43" s="76"/>
      <c r="BPD43" s="76"/>
      <c r="BPE43" s="76"/>
      <c r="BPF43" s="76"/>
      <c r="BPG43" s="77"/>
      <c r="BPH43" s="86"/>
      <c r="BPI43" s="82"/>
      <c r="BPJ43" s="82"/>
      <c r="BPK43" s="82"/>
      <c r="BPL43" s="82"/>
      <c r="BPM43" s="84"/>
      <c r="BPN43" s="84"/>
      <c r="BPO43" s="84"/>
      <c r="BPP43" s="72"/>
      <c r="BPQ43" s="85"/>
      <c r="BPR43" s="72"/>
      <c r="BPS43" s="72"/>
      <c r="BPT43" s="85"/>
      <c r="BPU43" s="71"/>
      <c r="BPV43" s="71"/>
      <c r="BPW43" s="72"/>
      <c r="BPX43" s="85"/>
      <c r="BPY43" s="76"/>
      <c r="BPZ43" s="76"/>
      <c r="BQA43" s="76"/>
      <c r="BQB43" s="76"/>
      <c r="BQC43" s="77"/>
      <c r="BQD43" s="86"/>
      <c r="BQE43" s="82"/>
      <c r="BQF43" s="82"/>
      <c r="BQG43" s="82"/>
      <c r="BQH43" s="82"/>
      <c r="BQI43" s="84"/>
      <c r="BQJ43" s="84"/>
      <c r="BQK43" s="84"/>
      <c r="BQL43" s="72"/>
      <c r="BQM43" s="85"/>
      <c r="BQN43" s="72"/>
      <c r="BQO43" s="72"/>
      <c r="BQP43" s="85"/>
      <c r="BQQ43" s="71"/>
      <c r="BQR43" s="71"/>
      <c r="BQS43" s="72"/>
      <c r="BQT43" s="85"/>
      <c r="BQU43" s="76"/>
      <c r="BQV43" s="76"/>
      <c r="BQW43" s="76"/>
      <c r="BQX43" s="76"/>
      <c r="BQY43" s="77"/>
      <c r="BQZ43" s="86"/>
      <c r="BRA43" s="82"/>
      <c r="BRB43" s="82"/>
      <c r="BRC43" s="82"/>
      <c r="BRD43" s="82"/>
      <c r="BRE43" s="84"/>
      <c r="BRF43" s="84"/>
      <c r="BRG43" s="84"/>
      <c r="BRH43" s="72"/>
      <c r="BRI43" s="85"/>
      <c r="BRJ43" s="72"/>
      <c r="BRK43" s="72"/>
      <c r="BRL43" s="85"/>
      <c r="BRM43" s="71"/>
      <c r="BRN43" s="71"/>
      <c r="BRO43" s="72"/>
      <c r="BRP43" s="85"/>
      <c r="BRQ43" s="76"/>
      <c r="BRR43" s="76"/>
      <c r="BRS43" s="76"/>
      <c r="BRT43" s="76"/>
      <c r="BRU43" s="77"/>
      <c r="BRV43" s="86"/>
      <c r="BRW43" s="82"/>
      <c r="BRX43" s="82"/>
      <c r="BRY43" s="82"/>
      <c r="BRZ43" s="82"/>
      <c r="BSA43" s="84"/>
      <c r="BSB43" s="84"/>
      <c r="BSC43" s="84"/>
      <c r="BSD43" s="72"/>
      <c r="BSE43" s="85"/>
      <c r="BSF43" s="72"/>
      <c r="BSG43" s="72"/>
      <c r="BSH43" s="85"/>
      <c r="BSI43" s="71"/>
      <c r="BSJ43" s="71"/>
      <c r="BSK43" s="72"/>
      <c r="BSL43" s="85"/>
      <c r="BSM43" s="76"/>
      <c r="BSN43" s="76"/>
      <c r="BSO43" s="76"/>
      <c r="BSP43" s="76"/>
      <c r="BSQ43" s="77"/>
      <c r="BSR43" s="86"/>
      <c r="BSS43" s="82"/>
      <c r="BST43" s="82"/>
      <c r="BSU43" s="82"/>
      <c r="BSV43" s="82"/>
      <c r="BSW43" s="84"/>
      <c r="BSX43" s="84"/>
      <c r="BSY43" s="84"/>
      <c r="BSZ43" s="72"/>
      <c r="BTA43" s="85"/>
      <c r="BTB43" s="72"/>
      <c r="BTC43" s="72"/>
      <c r="BTD43" s="85"/>
      <c r="BTE43" s="71"/>
      <c r="BTF43" s="71"/>
      <c r="BTG43" s="72"/>
      <c r="BTH43" s="85"/>
      <c r="BTI43" s="76"/>
      <c r="BTJ43" s="76"/>
      <c r="BTK43" s="76"/>
      <c r="BTL43" s="76"/>
      <c r="BTM43" s="77"/>
      <c r="BTN43" s="86"/>
      <c r="BTO43" s="82"/>
      <c r="BTP43" s="82"/>
      <c r="BTQ43" s="82"/>
      <c r="BTR43" s="82"/>
      <c r="BTS43" s="84"/>
      <c r="BTT43" s="84"/>
      <c r="BTU43" s="84"/>
      <c r="BTV43" s="72"/>
      <c r="BTW43" s="85"/>
      <c r="BTX43" s="72"/>
      <c r="BTY43" s="72"/>
      <c r="BTZ43" s="85"/>
      <c r="BUA43" s="71"/>
      <c r="BUB43" s="71"/>
      <c r="BUC43" s="72"/>
      <c r="BUD43" s="85"/>
      <c r="BUE43" s="76"/>
      <c r="BUF43" s="76"/>
      <c r="BUG43" s="76"/>
      <c r="BUH43" s="76"/>
      <c r="BUI43" s="77"/>
      <c r="BUJ43" s="86"/>
      <c r="BUK43" s="82"/>
      <c r="BUL43" s="82"/>
      <c r="BUM43" s="82"/>
      <c r="BUN43" s="82"/>
      <c r="BUO43" s="84"/>
      <c r="BUP43" s="84"/>
      <c r="BUQ43" s="84"/>
      <c r="BUR43" s="72"/>
      <c r="BUS43" s="85"/>
      <c r="BUT43" s="72"/>
      <c r="BUU43" s="72"/>
      <c r="BUV43" s="85"/>
      <c r="BUW43" s="71"/>
      <c r="BUX43" s="71"/>
      <c r="BUY43" s="72"/>
      <c r="BUZ43" s="85"/>
      <c r="BVA43" s="76"/>
      <c r="BVB43" s="76"/>
      <c r="BVC43" s="76"/>
      <c r="BVD43" s="76"/>
      <c r="BVE43" s="77"/>
      <c r="BVF43" s="86"/>
      <c r="BVG43" s="82"/>
      <c r="BVH43" s="82"/>
      <c r="BVI43" s="82"/>
      <c r="BVJ43" s="82"/>
      <c r="BVK43" s="84"/>
      <c r="BVL43" s="84"/>
      <c r="BVM43" s="84"/>
      <c r="BVN43" s="72"/>
      <c r="BVO43" s="85"/>
      <c r="BVP43" s="72"/>
      <c r="BVQ43" s="72"/>
      <c r="BVR43" s="85"/>
      <c r="BVS43" s="71"/>
      <c r="BVT43" s="71"/>
      <c r="BVU43" s="72"/>
      <c r="BVV43" s="85"/>
      <c r="BVW43" s="76"/>
      <c r="BVX43" s="76"/>
      <c r="BVY43" s="76"/>
      <c r="BVZ43" s="76"/>
      <c r="BWA43" s="77"/>
      <c r="BWB43" s="86"/>
      <c r="BWC43" s="82"/>
      <c r="BWD43" s="82"/>
      <c r="BWE43" s="82"/>
      <c r="BWF43" s="82"/>
      <c r="BWG43" s="84"/>
      <c r="BWH43" s="84"/>
      <c r="BWI43" s="84"/>
      <c r="BWJ43" s="72"/>
      <c r="BWK43" s="85"/>
      <c r="BWL43" s="72"/>
      <c r="BWM43" s="72"/>
      <c r="BWN43" s="85"/>
      <c r="BWO43" s="71"/>
      <c r="BWP43" s="71"/>
      <c r="BWQ43" s="72"/>
      <c r="BWR43" s="85"/>
      <c r="BWS43" s="76"/>
      <c r="BWT43" s="76"/>
      <c r="BWU43" s="76"/>
      <c r="BWV43" s="76"/>
      <c r="BWW43" s="77"/>
      <c r="BWX43" s="86"/>
      <c r="BWY43" s="82"/>
      <c r="BWZ43" s="82"/>
      <c r="BXA43" s="82"/>
      <c r="BXB43" s="82"/>
      <c r="BXC43" s="84"/>
      <c r="BXD43" s="84"/>
      <c r="BXE43" s="84"/>
      <c r="BXF43" s="72"/>
      <c r="BXG43" s="85"/>
      <c r="BXH43" s="72"/>
      <c r="BXI43" s="72"/>
      <c r="BXJ43" s="85"/>
      <c r="BXK43" s="71"/>
      <c r="BXL43" s="71"/>
      <c r="BXM43" s="72"/>
      <c r="BXN43" s="85"/>
      <c r="BXO43" s="76"/>
      <c r="BXP43" s="76"/>
      <c r="BXQ43" s="76"/>
      <c r="BXR43" s="76"/>
      <c r="BXS43" s="77"/>
      <c r="BXT43" s="86"/>
      <c r="BXU43" s="82"/>
      <c r="BXV43" s="82"/>
      <c r="BXW43" s="82"/>
      <c r="BXX43" s="82"/>
      <c r="BXY43" s="84"/>
      <c r="BXZ43" s="84"/>
      <c r="BYA43" s="84"/>
      <c r="BYB43" s="72"/>
      <c r="BYC43" s="85"/>
      <c r="BYD43" s="72"/>
      <c r="BYE43" s="72"/>
      <c r="BYF43" s="85"/>
      <c r="BYG43" s="71"/>
      <c r="BYH43" s="71"/>
      <c r="BYI43" s="72"/>
      <c r="BYJ43" s="85"/>
      <c r="BYK43" s="76"/>
      <c r="BYL43" s="76"/>
      <c r="BYM43" s="76"/>
      <c r="BYN43" s="76"/>
      <c r="BYO43" s="77"/>
      <c r="BYP43" s="86"/>
      <c r="BYQ43" s="82"/>
      <c r="BYR43" s="82"/>
      <c r="BYS43" s="82"/>
      <c r="BYT43" s="82"/>
      <c r="BYU43" s="84"/>
      <c r="BYV43" s="84"/>
      <c r="BYW43" s="84"/>
      <c r="BYX43" s="72"/>
      <c r="BYY43" s="85"/>
      <c r="BYZ43" s="72"/>
      <c r="BZA43" s="72"/>
      <c r="BZB43" s="85"/>
      <c r="BZC43" s="71"/>
      <c r="BZD43" s="71"/>
      <c r="BZE43" s="72"/>
      <c r="BZF43" s="85"/>
      <c r="BZG43" s="76"/>
      <c r="BZH43" s="76"/>
      <c r="BZI43" s="76"/>
      <c r="BZJ43" s="76"/>
      <c r="BZK43" s="77"/>
      <c r="BZL43" s="86"/>
      <c r="BZM43" s="82"/>
      <c r="BZN43" s="82"/>
      <c r="BZO43" s="82"/>
      <c r="BZP43" s="82"/>
      <c r="BZQ43" s="84"/>
      <c r="BZR43" s="84"/>
      <c r="BZS43" s="84"/>
      <c r="BZT43" s="72"/>
      <c r="BZU43" s="85"/>
      <c r="BZV43" s="72"/>
      <c r="BZW43" s="72"/>
      <c r="BZX43" s="85"/>
      <c r="BZY43" s="71"/>
      <c r="BZZ43" s="71"/>
      <c r="CAA43" s="72"/>
      <c r="CAB43" s="85"/>
      <c r="CAC43" s="76"/>
      <c r="CAD43" s="76"/>
      <c r="CAE43" s="76"/>
      <c r="CAF43" s="76"/>
      <c r="CAG43" s="77"/>
      <c r="CAH43" s="86"/>
      <c r="CAI43" s="82"/>
      <c r="CAJ43" s="82"/>
      <c r="CAK43" s="82"/>
      <c r="CAL43" s="82"/>
      <c r="CAM43" s="84"/>
      <c r="CAN43" s="84"/>
      <c r="CAO43" s="84"/>
      <c r="CAP43" s="72"/>
      <c r="CAQ43" s="85"/>
      <c r="CAR43" s="72"/>
      <c r="CAS43" s="72"/>
      <c r="CAT43" s="85"/>
      <c r="CAU43" s="71"/>
      <c r="CAV43" s="71"/>
      <c r="CAW43" s="72"/>
      <c r="CAX43" s="85"/>
      <c r="CAY43" s="76"/>
      <c r="CAZ43" s="76"/>
      <c r="CBA43" s="76"/>
      <c r="CBB43" s="76"/>
      <c r="CBC43" s="77"/>
      <c r="CBD43" s="86"/>
      <c r="CBE43" s="82"/>
      <c r="CBF43" s="82"/>
      <c r="CBG43" s="82"/>
      <c r="CBH43" s="82"/>
      <c r="CBI43" s="84"/>
      <c r="CBJ43" s="84"/>
      <c r="CBK43" s="84"/>
      <c r="CBL43" s="72"/>
      <c r="CBM43" s="85"/>
      <c r="CBN43" s="72"/>
      <c r="CBO43" s="72"/>
      <c r="CBP43" s="85"/>
      <c r="CBQ43" s="71"/>
      <c r="CBR43" s="71"/>
      <c r="CBS43" s="72"/>
      <c r="CBT43" s="85"/>
      <c r="CBU43" s="76"/>
      <c r="CBV43" s="76"/>
      <c r="CBW43" s="76"/>
      <c r="CBX43" s="76"/>
      <c r="CBY43" s="77"/>
      <c r="CBZ43" s="86"/>
      <c r="CCA43" s="82"/>
      <c r="CCB43" s="82"/>
      <c r="CCC43" s="82"/>
      <c r="CCD43" s="82"/>
      <c r="CCE43" s="84"/>
      <c r="CCF43" s="84"/>
      <c r="CCG43" s="84"/>
      <c r="CCH43" s="72"/>
      <c r="CCI43" s="85"/>
      <c r="CCJ43" s="72"/>
      <c r="CCK43" s="72"/>
      <c r="CCL43" s="85"/>
      <c r="CCM43" s="71"/>
      <c r="CCN43" s="71"/>
      <c r="CCO43" s="72"/>
      <c r="CCP43" s="85"/>
      <c r="CCQ43" s="76"/>
      <c r="CCR43" s="76"/>
      <c r="CCS43" s="76"/>
      <c r="CCT43" s="76"/>
      <c r="CCU43" s="77"/>
      <c r="CCV43" s="86"/>
      <c r="CCW43" s="82"/>
      <c r="CCX43" s="82"/>
      <c r="CCY43" s="82"/>
      <c r="CCZ43" s="82"/>
      <c r="CDA43" s="84"/>
      <c r="CDB43" s="84"/>
      <c r="CDC43" s="84"/>
      <c r="CDD43" s="72"/>
      <c r="CDE43" s="85"/>
      <c r="CDF43" s="72"/>
      <c r="CDG43" s="72"/>
      <c r="CDH43" s="85"/>
      <c r="CDI43" s="71"/>
      <c r="CDJ43" s="71"/>
      <c r="CDK43" s="72"/>
      <c r="CDL43" s="85"/>
      <c r="CDM43" s="76"/>
      <c r="CDN43" s="76"/>
      <c r="CDO43" s="76"/>
      <c r="CDP43" s="76"/>
      <c r="CDQ43" s="77"/>
      <c r="CDR43" s="86"/>
      <c r="CDS43" s="82"/>
      <c r="CDT43" s="82"/>
      <c r="CDU43" s="82"/>
      <c r="CDV43" s="82"/>
      <c r="CDW43" s="84"/>
      <c r="CDX43" s="84"/>
      <c r="CDY43" s="84"/>
      <c r="CDZ43" s="72"/>
      <c r="CEA43" s="85"/>
      <c r="CEB43" s="72"/>
      <c r="CEC43" s="72"/>
      <c r="CED43" s="85"/>
      <c r="CEE43" s="71"/>
      <c r="CEF43" s="71"/>
      <c r="CEG43" s="72"/>
      <c r="CEH43" s="85"/>
      <c r="CEI43" s="76"/>
      <c r="CEJ43" s="76"/>
      <c r="CEK43" s="76"/>
      <c r="CEL43" s="76"/>
      <c r="CEM43" s="77"/>
      <c r="CEN43" s="86"/>
      <c r="CEO43" s="82"/>
      <c r="CEP43" s="82"/>
      <c r="CEQ43" s="82"/>
      <c r="CER43" s="82"/>
      <c r="CES43" s="84"/>
      <c r="CET43" s="84"/>
      <c r="CEU43" s="84"/>
      <c r="CEV43" s="72"/>
      <c r="CEW43" s="85"/>
      <c r="CEX43" s="72"/>
      <c r="CEY43" s="72"/>
      <c r="CEZ43" s="85"/>
      <c r="CFA43" s="71"/>
      <c r="CFB43" s="71"/>
      <c r="CFC43" s="72"/>
      <c r="CFD43" s="85"/>
      <c r="CFE43" s="76"/>
      <c r="CFF43" s="76"/>
      <c r="CFG43" s="76"/>
      <c r="CFH43" s="76"/>
      <c r="CFI43" s="77"/>
      <c r="CFJ43" s="86"/>
      <c r="CFK43" s="82"/>
      <c r="CFL43" s="82"/>
      <c r="CFM43" s="82"/>
      <c r="CFN43" s="82"/>
      <c r="CFO43" s="84"/>
      <c r="CFP43" s="84"/>
      <c r="CFQ43" s="84"/>
      <c r="CFR43" s="72"/>
      <c r="CFS43" s="85"/>
      <c r="CFT43" s="72"/>
      <c r="CFU43" s="72"/>
      <c r="CFV43" s="85"/>
      <c r="CFW43" s="71"/>
      <c r="CFX43" s="71"/>
      <c r="CFY43" s="72"/>
      <c r="CFZ43" s="85"/>
      <c r="CGA43" s="76"/>
      <c r="CGB43" s="76"/>
      <c r="CGC43" s="76"/>
      <c r="CGD43" s="76"/>
      <c r="CGE43" s="77"/>
      <c r="CGF43" s="86"/>
      <c r="CGG43" s="82"/>
      <c r="CGH43" s="82"/>
      <c r="CGI43" s="82"/>
      <c r="CGJ43" s="82"/>
      <c r="CGK43" s="84"/>
      <c r="CGL43" s="84"/>
      <c r="CGM43" s="84"/>
      <c r="CGN43" s="72"/>
      <c r="CGO43" s="85"/>
      <c r="CGP43" s="72"/>
      <c r="CGQ43" s="72"/>
      <c r="CGR43" s="85"/>
      <c r="CGS43" s="71"/>
      <c r="CGT43" s="71"/>
      <c r="CGU43" s="72"/>
      <c r="CGV43" s="85"/>
      <c r="CGW43" s="76"/>
      <c r="CGX43" s="76"/>
      <c r="CGY43" s="76"/>
      <c r="CGZ43" s="76"/>
      <c r="CHA43" s="77"/>
      <c r="CHB43" s="86"/>
      <c r="CHC43" s="82"/>
      <c r="CHD43" s="82"/>
      <c r="CHE43" s="82"/>
      <c r="CHF43" s="82"/>
      <c r="CHG43" s="84"/>
      <c r="CHH43" s="84"/>
      <c r="CHI43" s="84"/>
      <c r="CHJ43" s="72"/>
      <c r="CHK43" s="85"/>
      <c r="CHL43" s="72"/>
      <c r="CHM43" s="72"/>
      <c r="CHN43" s="85"/>
      <c r="CHO43" s="71"/>
      <c r="CHP43" s="71"/>
      <c r="CHQ43" s="72"/>
      <c r="CHR43" s="85"/>
      <c r="CHS43" s="76"/>
      <c r="CHT43" s="76"/>
      <c r="CHU43" s="76"/>
      <c r="CHV43" s="76"/>
      <c r="CHW43" s="77"/>
      <c r="CHX43" s="86"/>
      <c r="CHY43" s="82"/>
      <c r="CHZ43" s="82"/>
      <c r="CIA43" s="82"/>
      <c r="CIB43" s="82"/>
      <c r="CIC43" s="84"/>
      <c r="CID43" s="84"/>
      <c r="CIE43" s="84"/>
      <c r="CIF43" s="72"/>
      <c r="CIG43" s="85"/>
      <c r="CIH43" s="72"/>
      <c r="CII43" s="72"/>
      <c r="CIJ43" s="85"/>
      <c r="CIK43" s="71"/>
      <c r="CIL43" s="71"/>
      <c r="CIM43" s="72"/>
      <c r="CIN43" s="85"/>
      <c r="CIO43" s="76"/>
      <c r="CIP43" s="76"/>
      <c r="CIQ43" s="76"/>
      <c r="CIR43" s="76"/>
      <c r="CIS43" s="77"/>
      <c r="CIT43" s="86"/>
      <c r="CIU43" s="82"/>
      <c r="CIV43" s="82"/>
      <c r="CIW43" s="82"/>
      <c r="CIX43" s="82"/>
      <c r="CIY43" s="84"/>
      <c r="CIZ43" s="84"/>
      <c r="CJA43" s="84"/>
      <c r="CJB43" s="72"/>
      <c r="CJC43" s="85"/>
      <c r="CJD43" s="72"/>
      <c r="CJE43" s="72"/>
      <c r="CJF43" s="85"/>
      <c r="CJG43" s="71"/>
      <c r="CJH43" s="71"/>
      <c r="CJI43" s="72"/>
      <c r="CJJ43" s="85"/>
      <c r="CJK43" s="76"/>
      <c r="CJL43" s="76"/>
      <c r="CJM43" s="76"/>
      <c r="CJN43" s="76"/>
      <c r="CJO43" s="77"/>
      <c r="CJP43" s="86"/>
      <c r="CJQ43" s="82"/>
      <c r="CJR43" s="82"/>
      <c r="CJS43" s="82"/>
      <c r="CJT43" s="82"/>
      <c r="CJU43" s="84"/>
      <c r="CJV43" s="84"/>
      <c r="CJW43" s="84"/>
      <c r="CJX43" s="72"/>
      <c r="CJY43" s="85"/>
      <c r="CJZ43" s="72"/>
      <c r="CKA43" s="72"/>
      <c r="CKB43" s="85"/>
      <c r="CKC43" s="71"/>
      <c r="CKD43" s="71"/>
      <c r="CKE43" s="72"/>
      <c r="CKF43" s="85"/>
      <c r="CKG43" s="76"/>
      <c r="CKH43" s="76"/>
      <c r="CKI43" s="76"/>
      <c r="CKJ43" s="76"/>
      <c r="CKK43" s="77"/>
      <c r="CKL43" s="86"/>
      <c r="CKM43" s="82"/>
      <c r="CKN43" s="82"/>
      <c r="CKO43" s="82"/>
      <c r="CKP43" s="82"/>
      <c r="CKQ43" s="84"/>
      <c r="CKR43" s="84"/>
      <c r="CKS43" s="84"/>
      <c r="CKT43" s="72"/>
      <c r="CKU43" s="85"/>
      <c r="CKV43" s="72"/>
      <c r="CKW43" s="72"/>
      <c r="CKX43" s="85"/>
      <c r="CKY43" s="71"/>
      <c r="CKZ43" s="71"/>
      <c r="CLA43" s="72"/>
      <c r="CLB43" s="85"/>
      <c r="CLC43" s="76"/>
      <c r="CLD43" s="76"/>
      <c r="CLE43" s="76"/>
      <c r="CLF43" s="76"/>
      <c r="CLG43" s="77"/>
      <c r="CLH43" s="86"/>
      <c r="CLI43" s="82"/>
      <c r="CLJ43" s="82"/>
      <c r="CLK43" s="82"/>
      <c r="CLL43" s="82"/>
      <c r="CLM43" s="84"/>
      <c r="CLN43" s="84"/>
      <c r="CLO43" s="84"/>
      <c r="CLP43" s="72"/>
      <c r="CLQ43" s="85"/>
      <c r="CLR43" s="72"/>
      <c r="CLS43" s="72"/>
      <c r="CLT43" s="85"/>
      <c r="CLU43" s="71"/>
      <c r="CLV43" s="71"/>
      <c r="CLW43" s="72"/>
      <c r="CLX43" s="85"/>
      <c r="CLY43" s="76"/>
      <c r="CLZ43" s="76"/>
      <c r="CMA43" s="76"/>
      <c r="CMB43" s="76"/>
      <c r="CMC43" s="77"/>
      <c r="CMD43" s="86"/>
      <c r="CME43" s="82"/>
      <c r="CMF43" s="82"/>
      <c r="CMG43" s="82"/>
      <c r="CMH43" s="82"/>
      <c r="CMI43" s="84"/>
      <c r="CMJ43" s="84"/>
      <c r="CMK43" s="84"/>
      <c r="CML43" s="72"/>
      <c r="CMM43" s="85"/>
      <c r="CMN43" s="72"/>
      <c r="CMO43" s="72"/>
      <c r="CMP43" s="85"/>
      <c r="CMQ43" s="71"/>
      <c r="CMR43" s="71"/>
      <c r="CMS43" s="72"/>
      <c r="CMT43" s="85"/>
      <c r="CMU43" s="76"/>
      <c r="CMV43" s="76"/>
      <c r="CMW43" s="76"/>
      <c r="CMX43" s="76"/>
      <c r="CMY43" s="77"/>
      <c r="CMZ43" s="86"/>
      <c r="CNA43" s="82"/>
      <c r="CNB43" s="82"/>
      <c r="CNC43" s="82"/>
      <c r="CND43" s="82"/>
      <c r="CNE43" s="84"/>
      <c r="CNF43" s="84"/>
      <c r="CNG43" s="84"/>
      <c r="CNH43" s="72"/>
      <c r="CNI43" s="85"/>
      <c r="CNJ43" s="72"/>
      <c r="CNK43" s="72"/>
      <c r="CNL43" s="85"/>
      <c r="CNM43" s="71"/>
      <c r="CNN43" s="71"/>
      <c r="CNO43" s="72"/>
      <c r="CNP43" s="85"/>
      <c r="CNQ43" s="76"/>
      <c r="CNR43" s="76"/>
      <c r="CNS43" s="76"/>
      <c r="CNT43" s="76"/>
      <c r="CNU43" s="77"/>
      <c r="CNV43" s="86"/>
      <c r="CNW43" s="82"/>
      <c r="CNX43" s="82"/>
      <c r="CNY43" s="82"/>
      <c r="CNZ43" s="82"/>
      <c r="COA43" s="84"/>
      <c r="COB43" s="84"/>
      <c r="COC43" s="84"/>
      <c r="COD43" s="72"/>
      <c r="COE43" s="85"/>
      <c r="COF43" s="72"/>
      <c r="COG43" s="72"/>
      <c r="COH43" s="85"/>
      <c r="COI43" s="71"/>
      <c r="COJ43" s="71"/>
      <c r="COK43" s="72"/>
      <c r="COL43" s="85"/>
      <c r="COM43" s="76"/>
      <c r="CON43" s="76"/>
      <c r="COO43" s="76"/>
      <c r="COP43" s="76"/>
      <c r="COQ43" s="77"/>
      <c r="COR43" s="86"/>
      <c r="COS43" s="82"/>
      <c r="COT43" s="82"/>
      <c r="COU43" s="82"/>
      <c r="COV43" s="82"/>
      <c r="COW43" s="84"/>
      <c r="COX43" s="84"/>
      <c r="COY43" s="84"/>
      <c r="COZ43" s="72"/>
      <c r="CPA43" s="85"/>
      <c r="CPB43" s="72"/>
      <c r="CPC43" s="72"/>
      <c r="CPD43" s="85"/>
      <c r="CPE43" s="71"/>
      <c r="CPF43" s="71"/>
      <c r="CPG43" s="72"/>
      <c r="CPH43" s="85"/>
      <c r="CPI43" s="76"/>
      <c r="CPJ43" s="76"/>
      <c r="CPK43" s="76"/>
      <c r="CPL43" s="76"/>
      <c r="CPM43" s="77"/>
      <c r="CPN43" s="86"/>
      <c r="CPO43" s="82"/>
      <c r="CPP43" s="82"/>
      <c r="CPQ43" s="82"/>
      <c r="CPR43" s="82"/>
      <c r="CPS43" s="84"/>
      <c r="CPT43" s="84"/>
      <c r="CPU43" s="84"/>
      <c r="CPV43" s="72"/>
      <c r="CPW43" s="85"/>
      <c r="CPX43" s="72"/>
      <c r="CPY43" s="72"/>
      <c r="CPZ43" s="85"/>
      <c r="CQA43" s="71"/>
      <c r="CQB43" s="71"/>
      <c r="CQC43" s="72"/>
      <c r="CQD43" s="85"/>
      <c r="CQE43" s="76"/>
      <c r="CQF43" s="76"/>
      <c r="CQG43" s="76"/>
      <c r="CQH43" s="76"/>
      <c r="CQI43" s="77"/>
      <c r="CQJ43" s="86"/>
      <c r="CQK43" s="82"/>
      <c r="CQL43" s="82"/>
      <c r="CQM43" s="82"/>
      <c r="CQN43" s="82"/>
      <c r="CQO43" s="84"/>
      <c r="CQP43" s="84"/>
      <c r="CQQ43" s="84"/>
      <c r="CQR43" s="72"/>
      <c r="CQS43" s="85"/>
      <c r="CQT43" s="72"/>
      <c r="CQU43" s="72"/>
      <c r="CQV43" s="85"/>
      <c r="CQW43" s="71"/>
      <c r="CQX43" s="71"/>
      <c r="CQY43" s="72"/>
      <c r="CQZ43" s="85"/>
      <c r="CRA43" s="76"/>
      <c r="CRB43" s="76"/>
      <c r="CRC43" s="76"/>
      <c r="CRD43" s="76"/>
      <c r="CRE43" s="77"/>
      <c r="CRF43" s="86"/>
      <c r="CRG43" s="82"/>
      <c r="CRH43" s="82"/>
      <c r="CRI43" s="82"/>
      <c r="CRJ43" s="82"/>
      <c r="CRK43" s="84"/>
      <c r="CRL43" s="84"/>
      <c r="CRM43" s="84"/>
      <c r="CRN43" s="72"/>
      <c r="CRO43" s="85"/>
      <c r="CRP43" s="72"/>
      <c r="CRQ43" s="72"/>
      <c r="CRR43" s="85"/>
      <c r="CRS43" s="71"/>
      <c r="CRT43" s="71"/>
      <c r="CRU43" s="72"/>
      <c r="CRV43" s="85"/>
      <c r="CRW43" s="76"/>
      <c r="CRX43" s="76"/>
      <c r="CRY43" s="76"/>
      <c r="CRZ43" s="76"/>
      <c r="CSA43" s="77"/>
      <c r="CSB43" s="86"/>
      <c r="CSC43" s="82"/>
      <c r="CSD43" s="82"/>
      <c r="CSE43" s="82"/>
      <c r="CSF43" s="82"/>
      <c r="CSG43" s="84"/>
      <c r="CSH43" s="84"/>
      <c r="CSI43" s="84"/>
      <c r="CSJ43" s="72"/>
      <c r="CSK43" s="85"/>
      <c r="CSL43" s="72"/>
      <c r="CSM43" s="72"/>
      <c r="CSN43" s="85"/>
      <c r="CSO43" s="71"/>
      <c r="CSP43" s="71"/>
      <c r="CSQ43" s="72"/>
      <c r="CSR43" s="85"/>
      <c r="CSS43" s="76"/>
      <c r="CST43" s="76"/>
      <c r="CSU43" s="76"/>
      <c r="CSV43" s="76"/>
      <c r="CSW43" s="77"/>
      <c r="CSX43" s="86"/>
      <c r="CSY43" s="82"/>
      <c r="CSZ43" s="82"/>
      <c r="CTA43" s="82"/>
      <c r="CTB43" s="82"/>
      <c r="CTC43" s="84"/>
      <c r="CTD43" s="84"/>
      <c r="CTE43" s="84"/>
      <c r="CTF43" s="72"/>
    </row>
    <row r="44" s="8" customFormat="1" ht="400" customHeight="1" spans="1:1024 1025:2554">
      <c r="A44" s="70">
        <v>32</v>
      </c>
      <c r="B44" s="71"/>
      <c r="C44" s="72" t="s">
        <v>92</v>
      </c>
      <c r="D44" s="73">
        <v>304</v>
      </c>
      <c r="E44" s="71" t="s">
        <v>93</v>
      </c>
      <c r="F44" s="71">
        <v>12.7</v>
      </c>
      <c r="G44" s="71"/>
      <c r="H44" s="74">
        <v>1.5</v>
      </c>
      <c r="I44" s="75" t="s">
        <v>94</v>
      </c>
      <c r="J44" s="71">
        <v>6</v>
      </c>
      <c r="K44" s="76">
        <v>50</v>
      </c>
      <c r="L44" s="73">
        <v>300</v>
      </c>
      <c r="M44" s="77">
        <v>1.03</v>
      </c>
      <c r="N44" s="78">
        <f t="shared" si="3"/>
        <v>309</v>
      </c>
      <c r="O44" s="79">
        <v>0.39</v>
      </c>
      <c r="P44" s="82">
        <f>O44*L44</f>
        <v>117</v>
      </c>
      <c r="Q44" s="71">
        <v>73064000</v>
      </c>
      <c r="R44" s="81"/>
      <c r="S44" s="83"/>
      <c r="T44" s="82"/>
      <c r="U44" s="84"/>
      <c r="V44" s="84"/>
      <c r="W44" s="84"/>
      <c r="X44" s="72"/>
      <c r="Y44" s="85"/>
      <c r="Z44" s="72"/>
      <c r="AA44" s="72"/>
      <c r="AB44" s="85"/>
      <c r="AC44" s="71"/>
      <c r="AD44" s="71"/>
      <c r="AE44" s="72"/>
      <c r="AF44" s="85"/>
      <c r="AG44" s="76"/>
      <c r="AH44" s="76"/>
      <c r="AI44" s="76"/>
      <c r="AJ44" s="76"/>
      <c r="AK44" s="77"/>
      <c r="AL44" s="86"/>
      <c r="AM44" s="82"/>
      <c r="AN44" s="82"/>
      <c r="AO44" s="82"/>
      <c r="AP44" s="82"/>
      <c r="AQ44" s="84"/>
      <c r="AR44" s="84"/>
      <c r="AS44" s="84"/>
      <c r="AT44" s="72"/>
      <c r="AU44" s="85"/>
      <c r="AV44" s="72"/>
      <c r="AW44" s="72"/>
      <c r="AX44" s="85"/>
      <c r="AY44" s="71"/>
      <c r="AZ44" s="71"/>
      <c r="BA44" s="72"/>
      <c r="BB44" s="85"/>
      <c r="BC44" s="76"/>
      <c r="BD44" s="76"/>
      <c r="BE44" s="76"/>
      <c r="BF44" s="76"/>
      <c r="BG44" s="77"/>
      <c r="BH44" s="86"/>
      <c r="BI44" s="82"/>
      <c r="BJ44" s="82"/>
      <c r="BK44" s="82"/>
      <c r="BL44" s="82"/>
      <c r="BM44" s="84"/>
      <c r="BN44" s="84"/>
      <c r="BO44" s="84"/>
      <c r="BP44" s="72"/>
      <c r="BQ44" s="85"/>
      <c r="BR44" s="72"/>
      <c r="BS44" s="72"/>
      <c r="BT44" s="85"/>
      <c r="BU44" s="71"/>
      <c r="BV44" s="71"/>
      <c r="BW44" s="72"/>
      <c r="BX44" s="85"/>
      <c r="BY44" s="76"/>
      <c r="BZ44" s="76"/>
      <c r="CA44" s="76"/>
      <c r="CB44" s="76"/>
      <c r="CC44" s="77"/>
      <c r="CD44" s="86"/>
      <c r="CE44" s="82"/>
      <c r="CF44" s="82"/>
      <c r="CG44" s="82"/>
      <c r="CH44" s="82"/>
      <c r="CI44" s="84"/>
      <c r="CJ44" s="84"/>
      <c r="CK44" s="84"/>
      <c r="CL44" s="72"/>
      <c r="CM44" s="85"/>
      <c r="CN44" s="72"/>
      <c r="CO44" s="72"/>
      <c r="CP44" s="85"/>
      <c r="CQ44" s="71"/>
      <c r="CR44" s="71"/>
      <c r="CS44" s="72"/>
      <c r="CT44" s="85"/>
      <c r="CU44" s="76"/>
      <c r="CV44" s="76"/>
      <c r="CW44" s="76"/>
      <c r="CX44" s="76"/>
      <c r="CY44" s="77"/>
      <c r="CZ44" s="86"/>
      <c r="DA44" s="82"/>
      <c r="DB44" s="82"/>
      <c r="DC44" s="82"/>
      <c r="DD44" s="82"/>
      <c r="DE44" s="84"/>
      <c r="DF44" s="84"/>
      <c r="DG44" s="84"/>
      <c r="DH44" s="72"/>
      <c r="DI44" s="85"/>
      <c r="DJ44" s="72"/>
      <c r="DK44" s="72"/>
      <c r="DL44" s="85"/>
      <c r="DM44" s="71"/>
      <c r="DN44" s="71"/>
      <c r="DO44" s="72"/>
      <c r="DP44" s="85"/>
      <c r="DQ44" s="76"/>
      <c r="DR44" s="76"/>
      <c r="DS44" s="76"/>
      <c r="DT44" s="76"/>
      <c r="DU44" s="77"/>
      <c r="DV44" s="86"/>
      <c r="DW44" s="82"/>
      <c r="DX44" s="82"/>
      <c r="DY44" s="82"/>
      <c r="DZ44" s="82"/>
      <c r="EA44" s="84"/>
      <c r="EB44" s="84"/>
      <c r="EC44" s="84"/>
      <c r="ED44" s="72"/>
      <c r="EE44" s="85"/>
      <c r="EF44" s="72"/>
      <c r="EG44" s="72"/>
      <c r="EH44" s="85"/>
      <c r="EI44" s="71"/>
      <c r="EJ44" s="71"/>
      <c r="EK44" s="72"/>
      <c r="EL44" s="85"/>
      <c r="EM44" s="76"/>
      <c r="EN44" s="76"/>
      <c r="EO44" s="76"/>
      <c r="EP44" s="76"/>
      <c r="EQ44" s="77"/>
      <c r="ER44" s="86"/>
      <c r="ES44" s="82"/>
      <c r="ET44" s="82"/>
      <c r="EU44" s="82"/>
      <c r="EV44" s="82"/>
      <c r="EW44" s="84"/>
      <c r="EX44" s="84"/>
      <c r="EY44" s="84"/>
      <c r="EZ44" s="72"/>
      <c r="FA44" s="85"/>
      <c r="FB44" s="72"/>
      <c r="FC44" s="72"/>
      <c r="FD44" s="85"/>
      <c r="FE44" s="71"/>
      <c r="FF44" s="71"/>
      <c r="FG44" s="72"/>
      <c r="FH44" s="85"/>
      <c r="FI44" s="76"/>
      <c r="FJ44" s="76"/>
      <c r="FK44" s="76"/>
      <c r="FL44" s="76"/>
      <c r="FM44" s="77"/>
      <c r="FN44" s="86"/>
      <c r="FO44" s="82"/>
      <c r="FP44" s="82"/>
      <c r="FQ44" s="82"/>
      <c r="FR44" s="82"/>
      <c r="FS44" s="84"/>
      <c r="FT44" s="84"/>
      <c r="FU44" s="84"/>
      <c r="FV44" s="72"/>
      <c r="FW44" s="85"/>
      <c r="FX44" s="72"/>
      <c r="FY44" s="72"/>
      <c r="FZ44" s="85"/>
      <c r="GA44" s="71"/>
      <c r="GB44" s="71"/>
      <c r="GC44" s="72"/>
      <c r="GD44" s="85"/>
      <c r="GE44" s="76"/>
      <c r="GF44" s="76"/>
      <c r="GG44" s="76"/>
      <c r="GH44" s="76"/>
      <c r="GI44" s="77"/>
      <c r="GJ44" s="86"/>
      <c r="GK44" s="82"/>
      <c r="GL44" s="82"/>
      <c r="GM44" s="82"/>
      <c r="GN44" s="82"/>
      <c r="GO44" s="84"/>
      <c r="GP44" s="84"/>
      <c r="GQ44" s="84"/>
      <c r="GR44" s="72"/>
      <c r="GS44" s="85"/>
      <c r="GT44" s="72"/>
      <c r="GU44" s="72"/>
      <c r="GV44" s="85"/>
      <c r="GW44" s="71"/>
      <c r="GX44" s="71"/>
      <c r="GY44" s="72"/>
      <c r="GZ44" s="85"/>
      <c r="HA44" s="76"/>
      <c r="HB44" s="76"/>
      <c r="HC44" s="76"/>
      <c r="HD44" s="76"/>
      <c r="HE44" s="77"/>
      <c r="HF44" s="86"/>
      <c r="HG44" s="82"/>
      <c r="HH44" s="82"/>
      <c r="HI44" s="82"/>
      <c r="HJ44" s="82"/>
      <c r="HK44" s="84"/>
      <c r="HL44" s="84"/>
      <c r="HM44" s="84"/>
      <c r="HN44" s="72"/>
      <c r="HO44" s="85"/>
      <c r="HP44" s="72"/>
      <c r="HQ44" s="72"/>
      <c r="HR44" s="85"/>
      <c r="HS44" s="71"/>
      <c r="HT44" s="71"/>
      <c r="HU44" s="72"/>
      <c r="HV44" s="85"/>
      <c r="HW44" s="76"/>
      <c r="HX44" s="76"/>
      <c r="HY44" s="76"/>
      <c r="HZ44" s="76"/>
      <c r="IA44" s="77"/>
      <c r="IB44" s="86"/>
      <c r="IC44" s="82"/>
      <c r="ID44" s="82"/>
      <c r="IE44" s="82"/>
      <c r="IF44" s="82"/>
      <c r="IG44" s="84"/>
      <c r="IH44" s="84"/>
      <c r="II44" s="84"/>
      <c r="IJ44" s="72"/>
      <c r="IK44" s="85"/>
      <c r="IL44" s="72"/>
      <c r="IM44" s="72"/>
      <c r="IN44" s="85"/>
      <c r="IO44" s="71"/>
      <c r="IP44" s="71"/>
      <c r="IQ44" s="72"/>
      <c r="IR44" s="85"/>
      <c r="IS44" s="76"/>
      <c r="IT44" s="76"/>
      <c r="IU44" s="76"/>
      <c r="IV44" s="76"/>
      <c r="IW44" s="77"/>
      <c r="IX44" s="86"/>
      <c r="IY44" s="82"/>
      <c r="IZ44" s="82"/>
      <c r="JA44" s="82"/>
      <c r="JB44" s="82"/>
      <c r="JC44" s="84"/>
      <c r="JD44" s="84"/>
      <c r="JE44" s="84"/>
      <c r="JF44" s="72"/>
      <c r="JG44" s="85"/>
      <c r="JH44" s="72"/>
      <c r="JI44" s="72"/>
      <c r="JJ44" s="85"/>
      <c r="JK44" s="71"/>
      <c r="JL44" s="71"/>
      <c r="JM44" s="72"/>
      <c r="JN44" s="85"/>
      <c r="JO44" s="76"/>
      <c r="JP44" s="76"/>
      <c r="JQ44" s="76"/>
      <c r="JR44" s="76"/>
      <c r="JS44" s="77"/>
      <c r="JT44" s="86"/>
      <c r="JU44" s="82"/>
      <c r="JV44" s="82"/>
      <c r="JW44" s="82"/>
      <c r="JX44" s="82"/>
      <c r="JY44" s="84"/>
      <c r="JZ44" s="84"/>
      <c r="KA44" s="84"/>
      <c r="KB44" s="72"/>
      <c r="KC44" s="85"/>
      <c r="KD44" s="72"/>
      <c r="KE44" s="72"/>
      <c r="KF44" s="85"/>
      <c r="KG44" s="71"/>
      <c r="KH44" s="71"/>
      <c r="KI44" s="72"/>
      <c r="KJ44" s="85"/>
      <c r="KK44" s="76"/>
      <c r="KL44" s="76"/>
      <c r="KM44" s="76"/>
      <c r="KN44" s="76"/>
      <c r="KO44" s="77"/>
      <c r="KP44" s="86"/>
      <c r="KQ44" s="82"/>
      <c r="KR44" s="82"/>
      <c r="KS44" s="82"/>
      <c r="KT44" s="82"/>
      <c r="KU44" s="84"/>
      <c r="KV44" s="84"/>
      <c r="KW44" s="84"/>
      <c r="KX44" s="72"/>
      <c r="KY44" s="85"/>
      <c r="KZ44" s="72"/>
      <c r="LA44" s="72"/>
      <c r="LB44" s="85"/>
      <c r="LC44" s="71"/>
      <c r="LD44" s="71"/>
      <c r="LE44" s="72"/>
      <c r="LF44" s="85"/>
      <c r="LG44" s="76"/>
      <c r="LH44" s="76"/>
      <c r="LI44" s="76"/>
      <c r="LJ44" s="76"/>
      <c r="LK44" s="77"/>
      <c r="LL44" s="86"/>
      <c r="LM44" s="82"/>
      <c r="LN44" s="82"/>
      <c r="LO44" s="82"/>
      <c r="LP44" s="82"/>
      <c r="LQ44" s="84"/>
      <c r="LR44" s="84"/>
      <c r="LS44" s="84"/>
      <c r="LT44" s="72"/>
      <c r="LU44" s="85"/>
      <c r="LV44" s="72"/>
      <c r="LW44" s="72"/>
      <c r="LX44" s="85"/>
      <c r="LY44" s="71"/>
      <c r="LZ44" s="71"/>
      <c r="MA44" s="72"/>
      <c r="MB44" s="85"/>
      <c r="MC44" s="76"/>
      <c r="MD44" s="76"/>
      <c r="ME44" s="76"/>
      <c r="MF44" s="76"/>
      <c r="MG44" s="77"/>
      <c r="MH44" s="86"/>
      <c r="MI44" s="82"/>
      <c r="MJ44" s="82"/>
      <c r="MK44" s="82"/>
      <c r="ML44" s="82"/>
      <c r="MM44" s="84"/>
      <c r="MN44" s="84"/>
      <c r="MO44" s="84"/>
      <c r="MP44" s="72"/>
      <c r="MQ44" s="85"/>
      <c r="MR44" s="72"/>
      <c r="MS44" s="72"/>
      <c r="MT44" s="85"/>
      <c r="MU44" s="71"/>
      <c r="MV44" s="71"/>
      <c r="MW44" s="72"/>
      <c r="MX44" s="85"/>
      <c r="MY44" s="76"/>
      <c r="MZ44" s="76"/>
      <c r="NA44" s="76"/>
      <c r="NB44" s="76"/>
      <c r="NC44" s="77"/>
      <c r="ND44" s="86"/>
      <c r="NE44" s="82"/>
      <c r="NF44" s="82"/>
      <c r="NG44" s="82"/>
      <c r="NH44" s="82"/>
      <c r="NI44" s="84"/>
      <c r="NJ44" s="84"/>
      <c r="NK44" s="84"/>
      <c r="NL44" s="72"/>
      <c r="NM44" s="85"/>
      <c r="NN44" s="72"/>
      <c r="NO44" s="72"/>
      <c r="NP44" s="85"/>
      <c r="NQ44" s="71"/>
      <c r="NR44" s="71"/>
      <c r="NS44" s="72"/>
      <c r="NT44" s="85"/>
      <c r="NU44" s="76"/>
      <c r="NV44" s="76"/>
      <c r="NW44" s="76"/>
      <c r="NX44" s="76"/>
      <c r="NY44" s="77"/>
      <c r="NZ44" s="86"/>
      <c r="OA44" s="82"/>
      <c r="OB44" s="82"/>
      <c r="OC44" s="82"/>
      <c r="OD44" s="82"/>
      <c r="OE44" s="84"/>
      <c r="OF44" s="84"/>
      <c r="OG44" s="84"/>
      <c r="OH44" s="72"/>
      <c r="OI44" s="85"/>
      <c r="OJ44" s="72"/>
      <c r="OK44" s="72"/>
      <c r="OL44" s="85"/>
      <c r="OM44" s="71"/>
      <c r="ON44" s="71"/>
      <c r="OO44" s="72"/>
      <c r="OP44" s="85"/>
      <c r="OQ44" s="76"/>
      <c r="OR44" s="76"/>
      <c r="OS44" s="76"/>
      <c r="OT44" s="76"/>
      <c r="OU44" s="77"/>
      <c r="OV44" s="86"/>
      <c r="OW44" s="82"/>
      <c r="OX44" s="82"/>
      <c r="OY44" s="82"/>
      <c r="OZ44" s="82"/>
      <c r="PA44" s="84"/>
      <c r="PB44" s="84"/>
      <c r="PC44" s="84"/>
      <c r="PD44" s="72"/>
      <c r="PE44" s="85"/>
      <c r="PF44" s="72"/>
      <c r="PG44" s="72"/>
      <c r="PH44" s="85"/>
      <c r="PI44" s="71"/>
      <c r="PJ44" s="71"/>
      <c r="PK44" s="72"/>
      <c r="PL44" s="85"/>
      <c r="PM44" s="76"/>
      <c r="PN44" s="76"/>
      <c r="PO44" s="76"/>
      <c r="PP44" s="76"/>
      <c r="PQ44" s="77"/>
      <c r="PR44" s="86"/>
      <c r="PS44" s="82"/>
      <c r="PT44" s="82"/>
      <c r="PU44" s="82"/>
      <c r="PV44" s="82"/>
      <c r="PW44" s="84"/>
      <c r="PX44" s="84"/>
      <c r="PY44" s="84"/>
      <c r="PZ44" s="72"/>
      <c r="QA44" s="85"/>
      <c r="QB44" s="72"/>
      <c r="QC44" s="72"/>
      <c r="QD44" s="85"/>
      <c r="QE44" s="71"/>
      <c r="QF44" s="71"/>
      <c r="QG44" s="72"/>
      <c r="QH44" s="85"/>
      <c r="QI44" s="76"/>
      <c r="QJ44" s="76"/>
      <c r="QK44" s="76"/>
      <c r="QL44" s="76"/>
      <c r="QM44" s="77"/>
      <c r="QN44" s="86"/>
      <c r="QO44" s="82"/>
      <c r="QP44" s="82"/>
      <c r="QQ44" s="82"/>
      <c r="QR44" s="82"/>
      <c r="QS44" s="84"/>
      <c r="QT44" s="84"/>
      <c r="QU44" s="84"/>
      <c r="QV44" s="72"/>
      <c r="QW44" s="85"/>
      <c r="QX44" s="72"/>
      <c r="QY44" s="72"/>
      <c r="QZ44" s="85"/>
      <c r="RA44" s="71"/>
      <c r="RB44" s="71"/>
      <c r="RC44" s="72"/>
      <c r="RD44" s="85"/>
      <c r="RE44" s="76"/>
      <c r="RF44" s="76"/>
      <c r="RG44" s="76"/>
      <c r="RH44" s="76"/>
      <c r="RI44" s="77"/>
      <c r="RJ44" s="86"/>
      <c r="RK44" s="82"/>
      <c r="RL44" s="82"/>
      <c r="RM44" s="82"/>
      <c r="RN44" s="82"/>
      <c r="RO44" s="84"/>
      <c r="RP44" s="84"/>
      <c r="RQ44" s="84"/>
      <c r="RR44" s="72"/>
      <c r="RS44" s="85"/>
      <c r="RT44" s="72"/>
      <c r="RU44" s="72"/>
      <c r="RV44" s="85"/>
      <c r="RW44" s="71"/>
      <c r="RX44" s="71"/>
      <c r="RY44" s="72"/>
      <c r="RZ44" s="85"/>
      <c r="SA44" s="76"/>
      <c r="SB44" s="76"/>
      <c r="SC44" s="76"/>
      <c r="SD44" s="76"/>
      <c r="SE44" s="77"/>
      <c r="SF44" s="86"/>
      <c r="SG44" s="82"/>
      <c r="SH44" s="82"/>
      <c r="SI44" s="82"/>
      <c r="SJ44" s="82"/>
      <c r="SK44" s="84"/>
      <c r="SL44" s="84"/>
      <c r="SM44" s="84"/>
      <c r="SN44" s="72"/>
      <c r="SO44" s="85"/>
      <c r="SP44" s="72"/>
      <c r="SQ44" s="72"/>
      <c r="SR44" s="85"/>
      <c r="SS44" s="71"/>
      <c r="ST44" s="71"/>
      <c r="SU44" s="72"/>
      <c r="SV44" s="85"/>
      <c r="SW44" s="76"/>
      <c r="SX44" s="76"/>
      <c r="SY44" s="76"/>
      <c r="SZ44" s="76"/>
      <c r="TA44" s="77"/>
      <c r="TB44" s="86"/>
      <c r="TC44" s="82"/>
      <c r="TD44" s="82"/>
      <c r="TE44" s="82"/>
      <c r="TF44" s="82"/>
      <c r="TG44" s="84"/>
      <c r="TH44" s="84"/>
      <c r="TI44" s="84"/>
      <c r="TJ44" s="72"/>
      <c r="TK44" s="85"/>
      <c r="TL44" s="72"/>
      <c r="TM44" s="72"/>
      <c r="TN44" s="85"/>
      <c r="TO44" s="71"/>
      <c r="TP44" s="71"/>
      <c r="TQ44" s="72"/>
      <c r="TR44" s="85"/>
      <c r="TS44" s="76"/>
      <c r="TT44" s="76"/>
      <c r="TU44" s="76"/>
      <c r="TV44" s="76"/>
      <c r="TW44" s="77"/>
      <c r="TX44" s="86"/>
      <c r="TY44" s="82"/>
      <c r="TZ44" s="82"/>
      <c r="UA44" s="82"/>
      <c r="UB44" s="82"/>
      <c r="UC44" s="84"/>
      <c r="UD44" s="84"/>
      <c r="UE44" s="84"/>
      <c r="UF44" s="72"/>
      <c r="UG44" s="85"/>
      <c r="UH44" s="72"/>
      <c r="UI44" s="72"/>
      <c r="UJ44" s="85"/>
      <c r="UK44" s="71"/>
      <c r="UL44" s="71"/>
      <c r="UM44" s="72"/>
      <c r="UN44" s="85"/>
      <c r="UO44" s="76"/>
      <c r="UP44" s="76"/>
      <c r="UQ44" s="76"/>
      <c r="UR44" s="76"/>
      <c r="US44" s="77"/>
      <c r="UT44" s="86"/>
      <c r="UU44" s="82"/>
      <c r="UV44" s="82"/>
      <c r="UW44" s="82"/>
      <c r="UX44" s="82"/>
      <c r="UY44" s="84"/>
      <c r="UZ44" s="84"/>
      <c r="VA44" s="84"/>
      <c r="VB44" s="72"/>
      <c r="VC44" s="85"/>
      <c r="VD44" s="72"/>
      <c r="VE44" s="72"/>
      <c r="VF44" s="85"/>
      <c r="VG44" s="71"/>
      <c r="VH44" s="71"/>
      <c r="VI44" s="72"/>
      <c r="VJ44" s="85"/>
      <c r="VK44" s="76"/>
      <c r="VL44" s="76"/>
      <c r="VM44" s="76"/>
      <c r="VN44" s="76"/>
      <c r="VO44" s="77"/>
      <c r="VP44" s="86"/>
      <c r="VQ44" s="82"/>
      <c r="VR44" s="82"/>
      <c r="VS44" s="82"/>
      <c r="VT44" s="82"/>
      <c r="VU44" s="84"/>
      <c r="VV44" s="84"/>
      <c r="VW44" s="84"/>
      <c r="VX44" s="72"/>
      <c r="VY44" s="85"/>
      <c r="VZ44" s="72"/>
      <c r="WA44" s="72"/>
      <c r="WB44" s="85"/>
      <c r="WC44" s="71"/>
      <c r="WD44" s="71"/>
      <c r="WE44" s="72"/>
      <c r="WF44" s="85"/>
      <c r="WG44" s="76"/>
      <c r="WH44" s="76"/>
      <c r="WI44" s="76"/>
      <c r="WJ44" s="76"/>
      <c r="WK44" s="77"/>
      <c r="WL44" s="86"/>
      <c r="WM44" s="82"/>
      <c r="WN44" s="82"/>
      <c r="WO44" s="82"/>
      <c r="WP44" s="82"/>
      <c r="WQ44" s="84"/>
      <c r="WR44" s="84"/>
      <c r="WS44" s="84"/>
      <c r="WT44" s="72"/>
      <c r="WU44" s="85"/>
      <c r="WV44" s="72"/>
      <c r="WW44" s="72"/>
      <c r="WX44" s="85"/>
      <c r="WY44" s="71"/>
      <c r="WZ44" s="71"/>
      <c r="XA44" s="72"/>
      <c r="XB44" s="85"/>
      <c r="XC44" s="76"/>
      <c r="XD44" s="76"/>
      <c r="XE44" s="76"/>
      <c r="XF44" s="76"/>
      <c r="XG44" s="77"/>
      <c r="XH44" s="86"/>
      <c r="XI44" s="82"/>
      <c r="XJ44" s="82"/>
      <c r="XK44" s="82"/>
      <c r="XL44" s="82"/>
      <c r="XM44" s="84"/>
      <c r="XN44" s="84"/>
      <c r="XO44" s="84"/>
      <c r="XP44" s="72"/>
      <c r="XQ44" s="85"/>
      <c r="XR44" s="72"/>
      <c r="XS44" s="72"/>
      <c r="XT44" s="85"/>
      <c r="XU44" s="71"/>
      <c r="XV44" s="71"/>
      <c r="XW44" s="72"/>
      <c r="XX44" s="85"/>
      <c r="XY44" s="76"/>
      <c r="XZ44" s="76"/>
      <c r="YA44" s="76"/>
      <c r="YB44" s="76"/>
      <c r="YC44" s="77"/>
      <c r="YD44" s="86"/>
      <c r="YE44" s="82"/>
      <c r="YF44" s="82"/>
      <c r="YG44" s="82"/>
      <c r="YH44" s="82"/>
      <c r="YI44" s="84"/>
      <c r="YJ44" s="84"/>
      <c r="YK44" s="84"/>
      <c r="YL44" s="72"/>
      <c r="YM44" s="85"/>
      <c r="YN44" s="72"/>
      <c r="YO44" s="72"/>
      <c r="YP44" s="85"/>
      <c r="YQ44" s="71"/>
      <c r="YR44" s="71"/>
      <c r="YS44" s="72"/>
      <c r="YT44" s="85"/>
      <c r="YU44" s="76"/>
      <c r="YV44" s="76"/>
      <c r="YW44" s="76"/>
      <c r="YX44" s="76"/>
      <c r="YY44" s="77"/>
      <c r="YZ44" s="86"/>
      <c r="ZA44" s="82"/>
      <c r="ZB44" s="82"/>
      <c r="ZC44" s="82"/>
      <c r="ZD44" s="82"/>
      <c r="ZE44" s="84"/>
      <c r="ZF44" s="84"/>
      <c r="ZG44" s="84"/>
      <c r="ZH44" s="72"/>
      <c r="ZI44" s="85"/>
      <c r="ZJ44" s="72"/>
      <c r="ZK44" s="72"/>
      <c r="ZL44" s="85"/>
      <c r="ZM44" s="71"/>
      <c r="ZN44" s="71"/>
      <c r="ZO44" s="72"/>
      <c r="ZP44" s="85"/>
      <c r="ZQ44" s="76"/>
      <c r="ZR44" s="76"/>
      <c r="ZS44" s="76"/>
      <c r="ZT44" s="76"/>
      <c r="ZU44" s="77"/>
      <c r="ZV44" s="86"/>
      <c r="ZW44" s="82"/>
      <c r="ZX44" s="82"/>
      <c r="ZY44" s="82"/>
      <c r="ZZ44" s="82"/>
      <c r="AAA44" s="84"/>
      <c r="AAB44" s="84"/>
      <c r="AAC44" s="84"/>
      <c r="AAD44" s="72"/>
      <c r="AAE44" s="85"/>
      <c r="AAF44" s="72"/>
      <c r="AAG44" s="72"/>
      <c r="AAH44" s="85"/>
      <c r="AAI44" s="71"/>
      <c r="AAJ44" s="71"/>
      <c r="AAK44" s="72"/>
      <c r="AAL44" s="85"/>
      <c r="AAM44" s="76"/>
      <c r="AAN44" s="76"/>
      <c r="AAO44" s="76"/>
      <c r="AAP44" s="76"/>
      <c r="AAQ44" s="77"/>
      <c r="AAR44" s="86"/>
      <c r="AAS44" s="82"/>
      <c r="AAT44" s="82"/>
      <c r="AAU44" s="82"/>
      <c r="AAV44" s="82"/>
      <c r="AAW44" s="84"/>
      <c r="AAX44" s="84"/>
      <c r="AAY44" s="84"/>
      <c r="AAZ44" s="72"/>
      <c r="ABA44" s="85"/>
      <c r="ABB44" s="72"/>
      <c r="ABC44" s="72"/>
      <c r="ABD44" s="85"/>
      <c r="ABE44" s="71"/>
      <c r="ABF44" s="71"/>
      <c r="ABG44" s="72"/>
      <c r="ABH44" s="85"/>
      <c r="ABI44" s="76"/>
      <c r="ABJ44" s="76"/>
      <c r="ABK44" s="76"/>
      <c r="ABL44" s="76"/>
      <c r="ABM44" s="77"/>
      <c r="ABN44" s="86"/>
      <c r="ABO44" s="82"/>
      <c r="ABP44" s="82"/>
      <c r="ABQ44" s="82"/>
      <c r="ABR44" s="82"/>
      <c r="ABS44" s="84"/>
      <c r="ABT44" s="84"/>
      <c r="ABU44" s="84"/>
      <c r="ABV44" s="72"/>
      <c r="ABW44" s="85"/>
      <c r="ABX44" s="72"/>
      <c r="ABY44" s="72"/>
      <c r="ABZ44" s="85"/>
      <c r="ACA44" s="71"/>
      <c r="ACB44" s="71"/>
      <c r="ACC44" s="72"/>
      <c r="ACD44" s="85"/>
      <c r="ACE44" s="76"/>
      <c r="ACF44" s="76"/>
      <c r="ACG44" s="76"/>
      <c r="ACH44" s="76"/>
      <c r="ACI44" s="77"/>
      <c r="ACJ44" s="86"/>
      <c r="ACK44" s="82"/>
      <c r="ACL44" s="82"/>
      <c r="ACM44" s="82"/>
      <c r="ACN44" s="82"/>
      <c r="ACO44" s="84"/>
      <c r="ACP44" s="84"/>
      <c r="ACQ44" s="84"/>
      <c r="ACR44" s="72"/>
      <c r="ACS44" s="85"/>
      <c r="ACT44" s="72"/>
      <c r="ACU44" s="72"/>
      <c r="ACV44" s="85"/>
      <c r="ACW44" s="71"/>
      <c r="ACX44" s="71"/>
      <c r="ACY44" s="72"/>
      <c r="ACZ44" s="85"/>
      <c r="ADA44" s="76"/>
      <c r="ADB44" s="76"/>
      <c r="ADC44" s="76"/>
      <c r="ADD44" s="76"/>
      <c r="ADE44" s="77"/>
      <c r="ADF44" s="86"/>
      <c r="ADG44" s="82"/>
      <c r="ADH44" s="82"/>
      <c r="ADI44" s="82"/>
      <c r="ADJ44" s="82"/>
      <c r="ADK44" s="84"/>
      <c r="ADL44" s="84"/>
      <c r="ADM44" s="84"/>
      <c r="ADN44" s="72"/>
      <c r="ADO44" s="85"/>
      <c r="ADP44" s="72"/>
      <c r="ADQ44" s="72"/>
      <c r="ADR44" s="85"/>
      <c r="ADS44" s="71"/>
      <c r="ADT44" s="71"/>
      <c r="ADU44" s="72"/>
      <c r="ADV44" s="85"/>
      <c r="ADW44" s="76"/>
      <c r="ADX44" s="76"/>
      <c r="ADY44" s="76"/>
      <c r="ADZ44" s="76"/>
      <c r="AEA44" s="77"/>
      <c r="AEB44" s="86"/>
      <c r="AEC44" s="82"/>
      <c r="AED44" s="82"/>
      <c r="AEE44" s="82"/>
      <c r="AEF44" s="82"/>
      <c r="AEG44" s="84"/>
      <c r="AEH44" s="84"/>
      <c r="AEI44" s="84"/>
      <c r="AEJ44" s="72"/>
      <c r="AEK44" s="85"/>
      <c r="AEL44" s="72"/>
      <c r="AEM44" s="72"/>
      <c r="AEN44" s="85"/>
      <c r="AEO44" s="71"/>
      <c r="AEP44" s="71"/>
      <c r="AEQ44" s="72"/>
      <c r="AER44" s="85"/>
      <c r="AES44" s="76"/>
      <c r="AET44" s="76"/>
      <c r="AEU44" s="76"/>
      <c r="AEV44" s="76"/>
      <c r="AEW44" s="77"/>
      <c r="AEX44" s="86"/>
      <c r="AEY44" s="82"/>
      <c r="AEZ44" s="82"/>
      <c r="AFA44" s="82"/>
      <c r="AFB44" s="82"/>
      <c r="AFC44" s="84"/>
      <c r="AFD44" s="84"/>
      <c r="AFE44" s="84"/>
      <c r="AFF44" s="72"/>
      <c r="AFG44" s="85"/>
      <c r="AFH44" s="72"/>
      <c r="AFI44" s="72"/>
      <c r="AFJ44" s="85"/>
      <c r="AFK44" s="71"/>
      <c r="AFL44" s="71"/>
      <c r="AFM44" s="72"/>
      <c r="AFN44" s="85"/>
      <c r="AFO44" s="76"/>
      <c r="AFP44" s="76"/>
      <c r="AFQ44" s="76"/>
      <c r="AFR44" s="76"/>
      <c r="AFS44" s="77"/>
      <c r="AFT44" s="86"/>
      <c r="AFU44" s="82"/>
      <c r="AFV44" s="82"/>
      <c r="AFW44" s="82"/>
      <c r="AFX44" s="82"/>
      <c r="AFY44" s="84"/>
      <c r="AFZ44" s="84"/>
      <c r="AGA44" s="84"/>
      <c r="AGB44" s="72"/>
      <c r="AGC44" s="85"/>
      <c r="AGD44" s="72"/>
      <c r="AGE44" s="72"/>
      <c r="AGF44" s="85"/>
      <c r="AGG44" s="71"/>
      <c r="AGH44" s="71"/>
      <c r="AGI44" s="72"/>
      <c r="AGJ44" s="85"/>
      <c r="AGK44" s="76"/>
      <c r="AGL44" s="76"/>
      <c r="AGM44" s="76"/>
      <c r="AGN44" s="76"/>
      <c r="AGO44" s="77"/>
      <c r="AGP44" s="86"/>
      <c r="AGQ44" s="82"/>
      <c r="AGR44" s="82"/>
      <c r="AGS44" s="82"/>
      <c r="AGT44" s="82"/>
      <c r="AGU44" s="84"/>
      <c r="AGV44" s="84"/>
      <c r="AGW44" s="84"/>
      <c r="AGX44" s="72"/>
      <c r="AGY44" s="85"/>
      <c r="AGZ44" s="72"/>
      <c r="AHA44" s="72"/>
      <c r="AHB44" s="85"/>
      <c r="AHC44" s="71"/>
      <c r="AHD44" s="71"/>
      <c r="AHE44" s="72"/>
      <c r="AHF44" s="85"/>
      <c r="AHG44" s="76"/>
      <c r="AHH44" s="76"/>
      <c r="AHI44" s="76"/>
      <c r="AHJ44" s="76"/>
      <c r="AHK44" s="77"/>
      <c r="AHL44" s="86"/>
      <c r="AHM44" s="82"/>
      <c r="AHN44" s="82"/>
      <c r="AHO44" s="82"/>
      <c r="AHP44" s="82"/>
      <c r="AHQ44" s="84"/>
      <c r="AHR44" s="84"/>
      <c r="AHS44" s="84"/>
      <c r="AHT44" s="72"/>
      <c r="AHU44" s="85"/>
      <c r="AHV44" s="72"/>
      <c r="AHW44" s="72"/>
      <c r="AHX44" s="85"/>
      <c r="AHY44" s="71"/>
      <c r="AHZ44" s="71"/>
      <c r="AIA44" s="72"/>
      <c r="AIB44" s="85"/>
      <c r="AIC44" s="76"/>
      <c r="AID44" s="76"/>
      <c r="AIE44" s="76"/>
      <c r="AIF44" s="76"/>
      <c r="AIG44" s="77"/>
      <c r="AIH44" s="86"/>
      <c r="AII44" s="82"/>
      <c r="AIJ44" s="82"/>
      <c r="AIK44" s="82"/>
      <c r="AIL44" s="82"/>
      <c r="AIM44" s="84"/>
      <c r="AIN44" s="84"/>
      <c r="AIO44" s="84"/>
      <c r="AIP44" s="72"/>
      <c r="AIQ44" s="85"/>
      <c r="AIR44" s="72"/>
      <c r="AIS44" s="72"/>
      <c r="AIT44" s="85"/>
      <c r="AIU44" s="71"/>
      <c r="AIV44" s="71"/>
      <c r="AIW44" s="72"/>
      <c r="AIX44" s="85"/>
      <c r="AIY44" s="76"/>
      <c r="AIZ44" s="76"/>
      <c r="AJA44" s="76"/>
      <c r="AJB44" s="76"/>
      <c r="AJC44" s="77"/>
      <c r="AJD44" s="86"/>
      <c r="AJE44" s="82"/>
      <c r="AJF44" s="82"/>
      <c r="AJG44" s="82"/>
      <c r="AJH44" s="82"/>
      <c r="AJI44" s="84"/>
      <c r="AJJ44" s="84"/>
      <c r="AJK44" s="84"/>
      <c r="AJL44" s="72"/>
      <c r="AJM44" s="85"/>
      <c r="AJN44" s="72"/>
      <c r="AJO44" s="72"/>
      <c r="AJP44" s="85"/>
      <c r="AJQ44" s="71"/>
      <c r="AJR44" s="71"/>
      <c r="AJS44" s="72"/>
      <c r="AJT44" s="85"/>
      <c r="AJU44" s="76"/>
      <c r="AJV44" s="76"/>
      <c r="AJW44" s="76"/>
      <c r="AJX44" s="76"/>
      <c r="AJY44" s="77"/>
      <c r="AJZ44" s="86"/>
      <c r="AKA44" s="82"/>
      <c r="AKB44" s="82"/>
      <c r="AKC44" s="82"/>
      <c r="AKD44" s="82"/>
      <c r="AKE44" s="84"/>
      <c r="AKF44" s="84"/>
      <c r="AKG44" s="84"/>
      <c r="AKH44" s="72"/>
      <c r="AKI44" s="85"/>
      <c r="AKJ44" s="72"/>
      <c r="AKK44" s="72"/>
      <c r="AKL44" s="85"/>
      <c r="AKM44" s="71"/>
      <c r="AKN44" s="71"/>
      <c r="AKO44" s="72"/>
      <c r="AKP44" s="85"/>
      <c r="AKQ44" s="76"/>
      <c r="AKR44" s="76"/>
      <c r="AKS44" s="76"/>
      <c r="AKT44" s="76"/>
      <c r="AKU44" s="77"/>
      <c r="AKV44" s="86"/>
      <c r="AKW44" s="82"/>
      <c r="AKX44" s="82"/>
      <c r="AKY44" s="82"/>
      <c r="AKZ44" s="82"/>
      <c r="ALA44" s="84"/>
      <c r="ALB44" s="84"/>
      <c r="ALC44" s="84"/>
      <c r="ALD44" s="72"/>
      <c r="ALE44" s="85"/>
      <c r="ALF44" s="72"/>
      <c r="ALG44" s="72"/>
      <c r="ALH44" s="85"/>
      <c r="ALI44" s="71"/>
      <c r="ALJ44" s="71"/>
      <c r="ALK44" s="72"/>
      <c r="ALL44" s="85"/>
      <c r="ALM44" s="76"/>
      <c r="ALN44" s="76"/>
      <c r="ALO44" s="76"/>
      <c r="ALP44" s="76"/>
      <c r="ALQ44" s="77"/>
      <c r="ALR44" s="86"/>
      <c r="ALS44" s="82"/>
      <c r="ALT44" s="82"/>
      <c r="ALU44" s="82"/>
      <c r="ALV44" s="82"/>
      <c r="ALW44" s="84"/>
      <c r="ALX44" s="84"/>
      <c r="ALY44" s="84"/>
      <c r="ALZ44" s="72"/>
      <c r="AMA44" s="85"/>
      <c r="AMB44" s="72"/>
      <c r="AMC44" s="72"/>
      <c r="AMD44" s="85"/>
      <c r="AME44" s="71"/>
      <c r="AMF44" s="71"/>
      <c r="AMG44" s="72"/>
      <c r="AMH44" s="85"/>
      <c r="AMI44" s="76"/>
      <c r="AMJ44" s="76"/>
      <c r="AMK44" s="76"/>
      <c r="AML44" s="76"/>
      <c r="AMM44" s="77"/>
      <c r="AMN44" s="86"/>
      <c r="AMO44" s="82"/>
      <c r="AMP44" s="82"/>
      <c r="AMQ44" s="82"/>
      <c r="AMR44" s="82"/>
      <c r="AMS44" s="84"/>
      <c r="AMT44" s="84"/>
      <c r="AMU44" s="84"/>
      <c r="AMV44" s="72"/>
      <c r="AMW44" s="85"/>
      <c r="AMX44" s="72"/>
      <c r="AMY44" s="72"/>
      <c r="AMZ44" s="85"/>
      <c r="ANA44" s="71"/>
      <c r="ANB44" s="71"/>
      <c r="ANC44" s="72"/>
      <c r="AND44" s="85"/>
      <c r="ANE44" s="76"/>
      <c r="ANF44" s="76"/>
      <c r="ANG44" s="76"/>
      <c r="ANH44" s="76"/>
      <c r="ANI44" s="77"/>
      <c r="ANJ44" s="86"/>
      <c r="ANK44" s="82"/>
      <c r="ANL44" s="82"/>
      <c r="ANM44" s="82"/>
      <c r="ANN44" s="82"/>
      <c r="ANO44" s="84"/>
      <c r="ANP44" s="84"/>
      <c r="ANQ44" s="84"/>
      <c r="ANR44" s="72"/>
      <c r="ANS44" s="85"/>
      <c r="ANT44" s="72"/>
      <c r="ANU44" s="72"/>
      <c r="ANV44" s="85"/>
      <c r="ANW44" s="71"/>
      <c r="ANX44" s="71"/>
      <c r="ANY44" s="72"/>
      <c r="ANZ44" s="85"/>
      <c r="AOA44" s="76"/>
      <c r="AOB44" s="76"/>
      <c r="AOC44" s="76"/>
      <c r="AOD44" s="76"/>
      <c r="AOE44" s="77"/>
      <c r="AOF44" s="86"/>
      <c r="AOG44" s="82"/>
      <c r="AOH44" s="82"/>
      <c r="AOI44" s="82"/>
      <c r="AOJ44" s="82"/>
      <c r="AOK44" s="84"/>
      <c r="AOL44" s="84"/>
      <c r="AOM44" s="84"/>
      <c r="AON44" s="72"/>
      <c r="AOO44" s="85"/>
      <c r="AOP44" s="72"/>
      <c r="AOQ44" s="72"/>
      <c r="AOR44" s="85"/>
      <c r="AOS44" s="71"/>
      <c r="AOT44" s="71"/>
      <c r="AOU44" s="72"/>
      <c r="AOV44" s="85"/>
      <c r="AOW44" s="76"/>
      <c r="AOX44" s="76"/>
      <c r="AOY44" s="76"/>
      <c r="AOZ44" s="76"/>
      <c r="APA44" s="77"/>
      <c r="APB44" s="86"/>
      <c r="APC44" s="82"/>
      <c r="APD44" s="82"/>
      <c r="APE44" s="82"/>
      <c r="APF44" s="82"/>
      <c r="APG44" s="84"/>
      <c r="APH44" s="84"/>
      <c r="API44" s="84"/>
      <c r="APJ44" s="72"/>
      <c r="APK44" s="85"/>
      <c r="APL44" s="72"/>
      <c r="APM44" s="72"/>
      <c r="APN44" s="85"/>
      <c r="APO44" s="71"/>
      <c r="APP44" s="71"/>
      <c r="APQ44" s="72"/>
      <c r="APR44" s="85"/>
      <c r="APS44" s="76"/>
      <c r="APT44" s="76"/>
      <c r="APU44" s="76"/>
      <c r="APV44" s="76"/>
      <c r="APW44" s="77"/>
      <c r="APX44" s="86"/>
      <c r="APY44" s="82"/>
      <c r="APZ44" s="82"/>
      <c r="AQA44" s="82"/>
      <c r="AQB44" s="82"/>
      <c r="AQC44" s="84"/>
      <c r="AQD44" s="84"/>
      <c r="AQE44" s="84"/>
      <c r="AQF44" s="72"/>
      <c r="AQG44" s="85"/>
      <c r="AQH44" s="72"/>
      <c r="AQI44" s="72"/>
      <c r="AQJ44" s="85"/>
      <c r="AQK44" s="71"/>
      <c r="AQL44" s="71"/>
      <c r="AQM44" s="72"/>
      <c r="AQN44" s="85"/>
      <c r="AQO44" s="76"/>
      <c r="AQP44" s="76"/>
      <c r="AQQ44" s="76"/>
      <c r="AQR44" s="76"/>
      <c r="AQS44" s="77"/>
      <c r="AQT44" s="86"/>
      <c r="AQU44" s="82"/>
      <c r="AQV44" s="82"/>
      <c r="AQW44" s="82"/>
      <c r="AQX44" s="82"/>
      <c r="AQY44" s="84"/>
      <c r="AQZ44" s="84"/>
      <c r="ARA44" s="84"/>
      <c r="ARB44" s="72"/>
      <c r="ARC44" s="85"/>
      <c r="ARD44" s="72"/>
      <c r="ARE44" s="72"/>
      <c r="ARF44" s="85"/>
      <c r="ARG44" s="71"/>
      <c r="ARH44" s="71"/>
      <c r="ARI44" s="72"/>
      <c r="ARJ44" s="85"/>
      <c r="ARK44" s="76"/>
      <c r="ARL44" s="76"/>
      <c r="ARM44" s="76"/>
      <c r="ARN44" s="76"/>
      <c r="ARO44" s="77"/>
      <c r="ARP44" s="86"/>
      <c r="ARQ44" s="82"/>
      <c r="ARR44" s="82"/>
      <c r="ARS44" s="82"/>
      <c r="ART44" s="82"/>
      <c r="ARU44" s="84"/>
      <c r="ARV44" s="84"/>
      <c r="ARW44" s="84"/>
      <c r="ARX44" s="72"/>
      <c r="ARY44" s="85"/>
      <c r="ARZ44" s="72"/>
      <c r="ASA44" s="72"/>
      <c r="ASB44" s="85"/>
      <c r="ASC44" s="71"/>
      <c r="ASD44" s="71"/>
      <c r="ASE44" s="72"/>
      <c r="ASF44" s="85"/>
      <c r="ASG44" s="76"/>
      <c r="ASH44" s="76"/>
      <c r="ASI44" s="76"/>
      <c r="ASJ44" s="76"/>
      <c r="ASK44" s="77"/>
      <c r="ASL44" s="86"/>
      <c r="ASM44" s="82"/>
      <c r="ASN44" s="82"/>
      <c r="ASO44" s="82"/>
      <c r="ASP44" s="82"/>
      <c r="ASQ44" s="84"/>
      <c r="ASR44" s="84"/>
      <c r="ASS44" s="84"/>
      <c r="AST44" s="72"/>
      <c r="ASU44" s="85"/>
      <c r="ASV44" s="72"/>
      <c r="ASW44" s="72"/>
      <c r="ASX44" s="85"/>
      <c r="ASY44" s="71"/>
      <c r="ASZ44" s="71"/>
      <c r="ATA44" s="72"/>
      <c r="ATB44" s="85"/>
      <c r="ATC44" s="76"/>
      <c r="ATD44" s="76"/>
      <c r="ATE44" s="76"/>
      <c r="ATF44" s="76"/>
      <c r="ATG44" s="77"/>
      <c r="ATH44" s="86"/>
      <c r="ATI44" s="82"/>
      <c r="ATJ44" s="82"/>
      <c r="ATK44" s="82"/>
      <c r="ATL44" s="82"/>
      <c r="ATM44" s="84"/>
      <c r="ATN44" s="84"/>
      <c r="ATO44" s="84"/>
      <c r="ATP44" s="72"/>
      <c r="ATQ44" s="85"/>
      <c r="ATR44" s="72"/>
      <c r="ATS44" s="72"/>
      <c r="ATT44" s="85"/>
      <c r="ATU44" s="71"/>
      <c r="ATV44" s="71"/>
      <c r="ATW44" s="72"/>
      <c r="ATX44" s="85"/>
      <c r="ATY44" s="76"/>
      <c r="ATZ44" s="76"/>
      <c r="AUA44" s="76"/>
      <c r="AUB44" s="76"/>
      <c r="AUC44" s="77"/>
      <c r="AUD44" s="86"/>
      <c r="AUE44" s="82"/>
      <c r="AUF44" s="82"/>
      <c r="AUG44" s="82"/>
      <c r="AUH44" s="82"/>
      <c r="AUI44" s="84"/>
      <c r="AUJ44" s="84"/>
      <c r="AUK44" s="84"/>
      <c r="AUL44" s="72"/>
      <c r="AUM44" s="85"/>
      <c r="AUN44" s="72"/>
      <c r="AUO44" s="72"/>
      <c r="AUP44" s="85"/>
      <c r="AUQ44" s="71"/>
      <c r="AUR44" s="71"/>
      <c r="AUS44" s="72"/>
      <c r="AUT44" s="85"/>
      <c r="AUU44" s="76"/>
      <c r="AUV44" s="76"/>
      <c r="AUW44" s="76"/>
      <c r="AUX44" s="76"/>
      <c r="AUY44" s="77"/>
      <c r="AUZ44" s="86"/>
      <c r="AVA44" s="82"/>
      <c r="AVB44" s="82"/>
      <c r="AVC44" s="82"/>
      <c r="AVD44" s="82"/>
      <c r="AVE44" s="84"/>
      <c r="AVF44" s="84"/>
      <c r="AVG44" s="84"/>
      <c r="AVH44" s="72"/>
      <c r="AVI44" s="85"/>
      <c r="AVJ44" s="72"/>
      <c r="AVK44" s="72"/>
      <c r="AVL44" s="85"/>
      <c r="AVM44" s="71"/>
      <c r="AVN44" s="71"/>
      <c r="AVO44" s="72"/>
      <c r="AVP44" s="85"/>
      <c r="AVQ44" s="76"/>
      <c r="AVR44" s="76"/>
      <c r="AVS44" s="76"/>
      <c r="AVT44" s="76"/>
      <c r="AVU44" s="77"/>
      <c r="AVV44" s="86"/>
      <c r="AVW44" s="82"/>
      <c r="AVX44" s="82"/>
      <c r="AVY44" s="82"/>
      <c r="AVZ44" s="82"/>
      <c r="AWA44" s="84"/>
      <c r="AWB44" s="84"/>
      <c r="AWC44" s="84"/>
      <c r="AWD44" s="72"/>
      <c r="AWE44" s="85"/>
      <c r="AWF44" s="72"/>
      <c r="AWG44" s="72"/>
      <c r="AWH44" s="85"/>
      <c r="AWI44" s="71"/>
      <c r="AWJ44" s="71"/>
      <c r="AWK44" s="72"/>
      <c r="AWL44" s="85"/>
      <c r="AWM44" s="76"/>
      <c r="AWN44" s="76"/>
      <c r="AWO44" s="76"/>
      <c r="AWP44" s="76"/>
      <c r="AWQ44" s="77"/>
      <c r="AWR44" s="86"/>
      <c r="AWS44" s="82"/>
      <c r="AWT44" s="82"/>
      <c r="AWU44" s="82"/>
      <c r="AWV44" s="82"/>
      <c r="AWW44" s="84"/>
      <c r="AWX44" s="84"/>
      <c r="AWY44" s="84"/>
      <c r="AWZ44" s="72"/>
      <c r="AXA44" s="85"/>
      <c r="AXB44" s="72"/>
      <c r="AXC44" s="72"/>
      <c r="AXD44" s="85"/>
      <c r="AXE44" s="71"/>
      <c r="AXF44" s="71"/>
      <c r="AXG44" s="72"/>
      <c r="AXH44" s="85"/>
      <c r="AXI44" s="76"/>
      <c r="AXJ44" s="76"/>
      <c r="AXK44" s="76"/>
      <c r="AXL44" s="76"/>
      <c r="AXM44" s="77"/>
      <c r="AXN44" s="86"/>
      <c r="AXO44" s="82"/>
      <c r="AXP44" s="82"/>
      <c r="AXQ44" s="82"/>
      <c r="AXR44" s="82"/>
      <c r="AXS44" s="84"/>
      <c r="AXT44" s="84"/>
      <c r="AXU44" s="84"/>
      <c r="AXV44" s="72"/>
      <c r="AXW44" s="85"/>
      <c r="AXX44" s="72"/>
      <c r="AXY44" s="72"/>
      <c r="AXZ44" s="85"/>
      <c r="AYA44" s="71"/>
      <c r="AYB44" s="71"/>
      <c r="AYC44" s="72"/>
      <c r="AYD44" s="85"/>
      <c r="AYE44" s="76"/>
      <c r="AYF44" s="76"/>
      <c r="AYG44" s="76"/>
      <c r="AYH44" s="76"/>
      <c r="AYI44" s="77"/>
      <c r="AYJ44" s="86"/>
      <c r="AYK44" s="82"/>
      <c r="AYL44" s="82"/>
      <c r="AYM44" s="82"/>
      <c r="AYN44" s="82"/>
      <c r="AYO44" s="84"/>
      <c r="AYP44" s="84"/>
      <c r="AYQ44" s="84"/>
      <c r="AYR44" s="72"/>
      <c r="AYS44" s="85"/>
      <c r="AYT44" s="72"/>
      <c r="AYU44" s="72"/>
      <c r="AYV44" s="85"/>
      <c r="AYW44" s="71"/>
      <c r="AYX44" s="71"/>
      <c r="AYY44" s="72"/>
      <c r="AYZ44" s="85"/>
      <c r="AZA44" s="76"/>
      <c r="AZB44" s="76"/>
      <c r="AZC44" s="76"/>
      <c r="AZD44" s="76"/>
      <c r="AZE44" s="77"/>
      <c r="AZF44" s="86"/>
      <c r="AZG44" s="82"/>
      <c r="AZH44" s="82"/>
      <c r="AZI44" s="82"/>
      <c r="AZJ44" s="82"/>
      <c r="AZK44" s="84"/>
      <c r="AZL44" s="84"/>
      <c r="AZM44" s="84"/>
      <c r="AZN44" s="72"/>
      <c r="AZO44" s="85"/>
      <c r="AZP44" s="72"/>
      <c r="AZQ44" s="72"/>
      <c r="AZR44" s="85"/>
      <c r="AZS44" s="71"/>
      <c r="AZT44" s="71"/>
      <c r="AZU44" s="72"/>
      <c r="AZV44" s="85"/>
      <c r="AZW44" s="76"/>
      <c r="AZX44" s="76"/>
      <c r="AZY44" s="76"/>
      <c r="AZZ44" s="76"/>
      <c r="BAA44" s="77"/>
      <c r="BAB44" s="86"/>
      <c r="BAC44" s="82"/>
      <c r="BAD44" s="82"/>
      <c r="BAE44" s="82"/>
      <c r="BAF44" s="82"/>
      <c r="BAG44" s="84"/>
      <c r="BAH44" s="84"/>
      <c r="BAI44" s="84"/>
      <c r="BAJ44" s="72"/>
      <c r="BAK44" s="85"/>
      <c r="BAL44" s="72"/>
      <c r="BAM44" s="72"/>
      <c r="BAN44" s="85"/>
      <c r="BAO44" s="71"/>
      <c r="BAP44" s="71"/>
      <c r="BAQ44" s="72"/>
      <c r="BAR44" s="85"/>
      <c r="BAS44" s="76"/>
      <c r="BAT44" s="76"/>
      <c r="BAU44" s="76"/>
      <c r="BAV44" s="76"/>
      <c r="BAW44" s="77"/>
      <c r="BAX44" s="86"/>
      <c r="BAY44" s="82"/>
      <c r="BAZ44" s="82"/>
      <c r="BBA44" s="82"/>
      <c r="BBB44" s="82"/>
      <c r="BBC44" s="84"/>
      <c r="BBD44" s="84"/>
      <c r="BBE44" s="84"/>
      <c r="BBF44" s="72"/>
      <c r="BBG44" s="85"/>
      <c r="BBH44" s="72"/>
      <c r="BBI44" s="72"/>
      <c r="BBJ44" s="85"/>
      <c r="BBK44" s="71"/>
      <c r="BBL44" s="71"/>
      <c r="BBM44" s="72"/>
      <c r="BBN44" s="85"/>
      <c r="BBO44" s="76"/>
      <c r="BBP44" s="76"/>
      <c r="BBQ44" s="76"/>
      <c r="BBR44" s="76"/>
      <c r="BBS44" s="77"/>
      <c r="BBT44" s="86"/>
      <c r="BBU44" s="82"/>
      <c r="BBV44" s="82"/>
      <c r="BBW44" s="82"/>
      <c r="BBX44" s="82"/>
      <c r="BBY44" s="84"/>
      <c r="BBZ44" s="84"/>
      <c r="BCA44" s="84"/>
      <c r="BCB44" s="72"/>
      <c r="BCC44" s="85"/>
      <c r="BCD44" s="72"/>
      <c r="BCE44" s="72"/>
      <c r="BCF44" s="85"/>
      <c r="BCG44" s="71"/>
      <c r="BCH44" s="71"/>
      <c r="BCI44" s="72"/>
      <c r="BCJ44" s="85"/>
      <c r="BCK44" s="76"/>
      <c r="BCL44" s="76"/>
      <c r="BCM44" s="76"/>
      <c r="BCN44" s="76"/>
      <c r="BCO44" s="77"/>
      <c r="BCP44" s="86"/>
      <c r="BCQ44" s="82"/>
      <c r="BCR44" s="82"/>
      <c r="BCS44" s="82"/>
      <c r="BCT44" s="82"/>
      <c r="BCU44" s="84"/>
      <c r="BCV44" s="84"/>
      <c r="BCW44" s="84"/>
      <c r="BCX44" s="72"/>
      <c r="BCY44" s="85"/>
      <c r="BCZ44" s="72"/>
      <c r="BDA44" s="72"/>
      <c r="BDB44" s="85"/>
      <c r="BDC44" s="71"/>
      <c r="BDD44" s="71"/>
      <c r="BDE44" s="72"/>
      <c r="BDF44" s="85"/>
      <c r="BDG44" s="76"/>
      <c r="BDH44" s="76"/>
      <c r="BDI44" s="76"/>
      <c r="BDJ44" s="76"/>
      <c r="BDK44" s="77"/>
      <c r="BDL44" s="86"/>
      <c r="BDM44" s="82"/>
      <c r="BDN44" s="82"/>
      <c r="BDO44" s="82"/>
      <c r="BDP44" s="82"/>
      <c r="BDQ44" s="84"/>
      <c r="BDR44" s="84"/>
      <c r="BDS44" s="84"/>
      <c r="BDT44" s="72"/>
      <c r="BDU44" s="85"/>
      <c r="BDV44" s="72"/>
      <c r="BDW44" s="72"/>
      <c r="BDX44" s="85"/>
      <c r="BDY44" s="71"/>
      <c r="BDZ44" s="71"/>
      <c r="BEA44" s="72"/>
      <c r="BEB44" s="85"/>
      <c r="BEC44" s="76"/>
      <c r="BED44" s="76"/>
      <c r="BEE44" s="76"/>
      <c r="BEF44" s="76"/>
      <c r="BEG44" s="77"/>
      <c r="BEH44" s="86"/>
      <c r="BEI44" s="82"/>
      <c r="BEJ44" s="82"/>
      <c r="BEK44" s="82"/>
      <c r="BEL44" s="82"/>
      <c r="BEM44" s="84"/>
      <c r="BEN44" s="84"/>
      <c r="BEO44" s="84"/>
      <c r="BEP44" s="72"/>
      <c r="BEQ44" s="85"/>
      <c r="BER44" s="72"/>
      <c r="BES44" s="72"/>
      <c r="BET44" s="85"/>
      <c r="BEU44" s="71"/>
      <c r="BEV44" s="71"/>
      <c r="BEW44" s="72"/>
      <c r="BEX44" s="85"/>
      <c r="BEY44" s="76"/>
      <c r="BEZ44" s="76"/>
      <c r="BFA44" s="76"/>
      <c r="BFB44" s="76"/>
      <c r="BFC44" s="77"/>
      <c r="BFD44" s="86"/>
      <c r="BFE44" s="82"/>
      <c r="BFF44" s="82"/>
      <c r="BFG44" s="82"/>
      <c r="BFH44" s="82"/>
      <c r="BFI44" s="84"/>
      <c r="BFJ44" s="84"/>
      <c r="BFK44" s="84"/>
      <c r="BFL44" s="72"/>
      <c r="BFM44" s="85"/>
      <c r="BFN44" s="72"/>
      <c r="BFO44" s="72"/>
      <c r="BFP44" s="85"/>
      <c r="BFQ44" s="71"/>
      <c r="BFR44" s="71"/>
      <c r="BFS44" s="72"/>
      <c r="BFT44" s="85"/>
      <c r="BFU44" s="76"/>
      <c r="BFV44" s="76"/>
      <c r="BFW44" s="76"/>
      <c r="BFX44" s="76"/>
      <c r="BFY44" s="77"/>
      <c r="BFZ44" s="86"/>
      <c r="BGA44" s="82"/>
      <c r="BGB44" s="82"/>
      <c r="BGC44" s="82"/>
      <c r="BGD44" s="82"/>
      <c r="BGE44" s="84"/>
      <c r="BGF44" s="84"/>
      <c r="BGG44" s="84"/>
      <c r="BGH44" s="72"/>
      <c r="BGI44" s="85"/>
      <c r="BGJ44" s="72"/>
      <c r="BGK44" s="72"/>
      <c r="BGL44" s="85"/>
      <c r="BGM44" s="71"/>
      <c r="BGN44" s="71"/>
      <c r="BGO44" s="72"/>
      <c r="BGP44" s="85"/>
      <c r="BGQ44" s="76"/>
      <c r="BGR44" s="76"/>
      <c r="BGS44" s="76"/>
      <c r="BGT44" s="76"/>
      <c r="BGU44" s="77"/>
      <c r="BGV44" s="86"/>
      <c r="BGW44" s="82"/>
      <c r="BGX44" s="82"/>
      <c r="BGY44" s="82"/>
      <c r="BGZ44" s="82"/>
      <c r="BHA44" s="84"/>
      <c r="BHB44" s="84"/>
      <c r="BHC44" s="84"/>
      <c r="BHD44" s="72"/>
      <c r="BHE44" s="85"/>
      <c r="BHF44" s="72"/>
      <c r="BHG44" s="72"/>
      <c r="BHH44" s="85"/>
      <c r="BHI44" s="71"/>
      <c r="BHJ44" s="71"/>
      <c r="BHK44" s="72"/>
      <c r="BHL44" s="85"/>
      <c r="BHM44" s="76"/>
      <c r="BHN44" s="76"/>
      <c r="BHO44" s="76"/>
      <c r="BHP44" s="76"/>
      <c r="BHQ44" s="77"/>
      <c r="BHR44" s="86"/>
      <c r="BHS44" s="82"/>
      <c r="BHT44" s="82"/>
      <c r="BHU44" s="82"/>
      <c r="BHV44" s="82"/>
      <c r="BHW44" s="84"/>
      <c r="BHX44" s="84"/>
      <c r="BHY44" s="84"/>
      <c r="BHZ44" s="72"/>
      <c r="BIA44" s="85"/>
      <c r="BIB44" s="72"/>
      <c r="BIC44" s="72"/>
      <c r="BID44" s="85"/>
      <c r="BIE44" s="71"/>
      <c r="BIF44" s="71"/>
      <c r="BIG44" s="72"/>
      <c r="BIH44" s="85"/>
      <c r="BII44" s="76"/>
      <c r="BIJ44" s="76"/>
      <c r="BIK44" s="76"/>
      <c r="BIL44" s="76"/>
      <c r="BIM44" s="77"/>
      <c r="BIN44" s="86"/>
      <c r="BIO44" s="82"/>
      <c r="BIP44" s="82"/>
      <c r="BIQ44" s="82"/>
      <c r="BIR44" s="82"/>
      <c r="BIS44" s="84"/>
      <c r="BIT44" s="84"/>
      <c r="BIU44" s="84"/>
      <c r="BIV44" s="72"/>
      <c r="BIW44" s="85"/>
      <c r="BIX44" s="72"/>
      <c r="BIY44" s="72"/>
      <c r="BIZ44" s="85"/>
      <c r="BJA44" s="71"/>
      <c r="BJB44" s="71"/>
      <c r="BJC44" s="72"/>
      <c r="BJD44" s="85"/>
      <c r="BJE44" s="76"/>
      <c r="BJF44" s="76"/>
      <c r="BJG44" s="76"/>
      <c r="BJH44" s="76"/>
      <c r="BJI44" s="77"/>
      <c r="BJJ44" s="86"/>
      <c r="BJK44" s="82"/>
      <c r="BJL44" s="82"/>
      <c r="BJM44" s="82"/>
      <c r="BJN44" s="82"/>
      <c r="BJO44" s="84"/>
      <c r="BJP44" s="84"/>
      <c r="BJQ44" s="84"/>
      <c r="BJR44" s="72"/>
      <c r="BJS44" s="85"/>
      <c r="BJT44" s="72"/>
      <c r="BJU44" s="72"/>
      <c r="BJV44" s="85"/>
      <c r="BJW44" s="71"/>
      <c r="BJX44" s="71"/>
      <c r="BJY44" s="72"/>
      <c r="BJZ44" s="85"/>
      <c r="BKA44" s="76"/>
      <c r="BKB44" s="76"/>
      <c r="BKC44" s="76"/>
      <c r="BKD44" s="76"/>
      <c r="BKE44" s="77"/>
      <c r="BKF44" s="86"/>
      <c r="BKG44" s="82"/>
      <c r="BKH44" s="82"/>
      <c r="BKI44" s="82"/>
      <c r="BKJ44" s="82"/>
      <c r="BKK44" s="84"/>
      <c r="BKL44" s="84"/>
      <c r="BKM44" s="84"/>
      <c r="BKN44" s="72"/>
      <c r="BKO44" s="85"/>
      <c r="BKP44" s="72"/>
      <c r="BKQ44" s="72"/>
      <c r="BKR44" s="85"/>
      <c r="BKS44" s="71"/>
      <c r="BKT44" s="71"/>
      <c r="BKU44" s="72"/>
      <c r="BKV44" s="85"/>
      <c r="BKW44" s="76"/>
      <c r="BKX44" s="76"/>
      <c r="BKY44" s="76"/>
      <c r="BKZ44" s="76"/>
      <c r="BLA44" s="77"/>
      <c r="BLB44" s="86"/>
      <c r="BLC44" s="82"/>
      <c r="BLD44" s="82"/>
      <c r="BLE44" s="82"/>
      <c r="BLF44" s="82"/>
      <c r="BLG44" s="84"/>
      <c r="BLH44" s="84"/>
      <c r="BLI44" s="84"/>
      <c r="BLJ44" s="72"/>
      <c r="BLK44" s="85"/>
      <c r="BLL44" s="72"/>
      <c r="BLM44" s="72"/>
      <c r="BLN44" s="85"/>
      <c r="BLO44" s="71"/>
      <c r="BLP44" s="71"/>
      <c r="BLQ44" s="72"/>
      <c r="BLR44" s="85"/>
      <c r="BLS44" s="76"/>
      <c r="BLT44" s="76"/>
      <c r="BLU44" s="76"/>
      <c r="BLV44" s="76"/>
      <c r="BLW44" s="77"/>
      <c r="BLX44" s="86"/>
      <c r="BLY44" s="82"/>
      <c r="BLZ44" s="82"/>
      <c r="BMA44" s="82"/>
      <c r="BMB44" s="82"/>
      <c r="BMC44" s="84"/>
      <c r="BMD44" s="84"/>
      <c r="BME44" s="84"/>
      <c r="BMF44" s="72"/>
      <c r="BMG44" s="85"/>
      <c r="BMH44" s="72"/>
      <c r="BMI44" s="72"/>
      <c r="BMJ44" s="85"/>
      <c r="BMK44" s="71"/>
      <c r="BML44" s="71"/>
      <c r="BMM44" s="72"/>
      <c r="BMN44" s="85"/>
      <c r="BMO44" s="76"/>
      <c r="BMP44" s="76"/>
      <c r="BMQ44" s="76"/>
      <c r="BMR44" s="76"/>
      <c r="BMS44" s="77"/>
      <c r="BMT44" s="86"/>
      <c r="BMU44" s="82"/>
      <c r="BMV44" s="82"/>
      <c r="BMW44" s="82"/>
      <c r="BMX44" s="82"/>
      <c r="BMY44" s="84"/>
      <c r="BMZ44" s="84"/>
      <c r="BNA44" s="84"/>
      <c r="BNB44" s="72"/>
      <c r="BNC44" s="85"/>
      <c r="BND44" s="72"/>
      <c r="BNE44" s="72"/>
      <c r="BNF44" s="85"/>
      <c r="BNG44" s="71"/>
      <c r="BNH44" s="71"/>
      <c r="BNI44" s="72"/>
      <c r="BNJ44" s="85"/>
      <c r="BNK44" s="76"/>
      <c r="BNL44" s="76"/>
      <c r="BNM44" s="76"/>
      <c r="BNN44" s="76"/>
      <c r="BNO44" s="77"/>
      <c r="BNP44" s="86"/>
      <c r="BNQ44" s="82"/>
      <c r="BNR44" s="82"/>
      <c r="BNS44" s="82"/>
      <c r="BNT44" s="82"/>
      <c r="BNU44" s="84"/>
      <c r="BNV44" s="84"/>
      <c r="BNW44" s="84"/>
      <c r="BNX44" s="72"/>
      <c r="BNY44" s="85"/>
      <c r="BNZ44" s="72"/>
      <c r="BOA44" s="72"/>
      <c r="BOB44" s="85"/>
      <c r="BOC44" s="71"/>
      <c r="BOD44" s="71"/>
      <c r="BOE44" s="72"/>
      <c r="BOF44" s="85"/>
      <c r="BOG44" s="76"/>
      <c r="BOH44" s="76"/>
      <c r="BOI44" s="76"/>
      <c r="BOJ44" s="76"/>
      <c r="BOK44" s="77"/>
      <c r="BOL44" s="86"/>
      <c r="BOM44" s="82"/>
      <c r="BON44" s="82"/>
      <c r="BOO44" s="82"/>
      <c r="BOP44" s="82"/>
      <c r="BOQ44" s="84"/>
      <c r="BOR44" s="84"/>
      <c r="BOS44" s="84"/>
      <c r="BOT44" s="72"/>
      <c r="BOU44" s="85"/>
      <c r="BOV44" s="72"/>
      <c r="BOW44" s="72"/>
      <c r="BOX44" s="85"/>
      <c r="BOY44" s="71"/>
      <c r="BOZ44" s="71"/>
      <c r="BPA44" s="72"/>
      <c r="BPB44" s="85"/>
      <c r="BPC44" s="76"/>
      <c r="BPD44" s="76"/>
      <c r="BPE44" s="76"/>
      <c r="BPF44" s="76"/>
      <c r="BPG44" s="77"/>
      <c r="BPH44" s="86"/>
      <c r="BPI44" s="82"/>
      <c r="BPJ44" s="82"/>
      <c r="BPK44" s="82"/>
      <c r="BPL44" s="82"/>
      <c r="BPM44" s="84"/>
      <c r="BPN44" s="84"/>
      <c r="BPO44" s="84"/>
      <c r="BPP44" s="72"/>
      <c r="BPQ44" s="85"/>
      <c r="BPR44" s="72"/>
      <c r="BPS44" s="72"/>
      <c r="BPT44" s="85"/>
      <c r="BPU44" s="71"/>
      <c r="BPV44" s="71"/>
      <c r="BPW44" s="72"/>
      <c r="BPX44" s="85"/>
      <c r="BPY44" s="76"/>
      <c r="BPZ44" s="76"/>
      <c r="BQA44" s="76"/>
      <c r="BQB44" s="76"/>
      <c r="BQC44" s="77"/>
      <c r="BQD44" s="86"/>
      <c r="BQE44" s="82"/>
      <c r="BQF44" s="82"/>
      <c r="BQG44" s="82"/>
      <c r="BQH44" s="82"/>
      <c r="BQI44" s="84"/>
      <c r="BQJ44" s="84"/>
      <c r="BQK44" s="84"/>
      <c r="BQL44" s="72"/>
      <c r="BQM44" s="85"/>
      <c r="BQN44" s="72"/>
      <c r="BQO44" s="72"/>
      <c r="BQP44" s="85"/>
      <c r="BQQ44" s="71"/>
      <c r="BQR44" s="71"/>
      <c r="BQS44" s="72"/>
      <c r="BQT44" s="85"/>
      <c r="BQU44" s="76"/>
      <c r="BQV44" s="76"/>
      <c r="BQW44" s="76"/>
      <c r="BQX44" s="76"/>
      <c r="BQY44" s="77"/>
      <c r="BQZ44" s="86"/>
      <c r="BRA44" s="82"/>
      <c r="BRB44" s="82"/>
      <c r="BRC44" s="82"/>
      <c r="BRD44" s="82"/>
      <c r="BRE44" s="84"/>
      <c r="BRF44" s="84"/>
      <c r="BRG44" s="84"/>
      <c r="BRH44" s="72"/>
      <c r="BRI44" s="85"/>
      <c r="BRJ44" s="72"/>
      <c r="BRK44" s="72"/>
      <c r="BRL44" s="85"/>
      <c r="BRM44" s="71"/>
      <c r="BRN44" s="71"/>
      <c r="BRO44" s="72"/>
      <c r="BRP44" s="85"/>
      <c r="BRQ44" s="76"/>
      <c r="BRR44" s="76"/>
      <c r="BRS44" s="76"/>
      <c r="BRT44" s="76"/>
      <c r="BRU44" s="77"/>
      <c r="BRV44" s="86"/>
      <c r="BRW44" s="82"/>
      <c r="BRX44" s="82"/>
      <c r="BRY44" s="82"/>
      <c r="BRZ44" s="82"/>
      <c r="BSA44" s="84"/>
      <c r="BSB44" s="84"/>
      <c r="BSC44" s="84"/>
      <c r="BSD44" s="72"/>
      <c r="BSE44" s="85"/>
      <c r="BSF44" s="72"/>
      <c r="BSG44" s="72"/>
      <c r="BSH44" s="85"/>
      <c r="BSI44" s="71"/>
      <c r="BSJ44" s="71"/>
      <c r="BSK44" s="72"/>
      <c r="BSL44" s="85"/>
      <c r="BSM44" s="76"/>
      <c r="BSN44" s="76"/>
      <c r="BSO44" s="76"/>
      <c r="BSP44" s="76"/>
      <c r="BSQ44" s="77"/>
      <c r="BSR44" s="86"/>
      <c r="BSS44" s="82"/>
      <c r="BST44" s="82"/>
      <c r="BSU44" s="82"/>
      <c r="BSV44" s="82"/>
      <c r="BSW44" s="84"/>
      <c r="BSX44" s="84"/>
      <c r="BSY44" s="84"/>
      <c r="BSZ44" s="72"/>
      <c r="BTA44" s="85"/>
      <c r="BTB44" s="72"/>
      <c r="BTC44" s="72"/>
      <c r="BTD44" s="85"/>
      <c r="BTE44" s="71"/>
      <c r="BTF44" s="71"/>
      <c r="BTG44" s="72"/>
      <c r="BTH44" s="85"/>
      <c r="BTI44" s="76"/>
      <c r="BTJ44" s="76"/>
      <c r="BTK44" s="76"/>
      <c r="BTL44" s="76"/>
      <c r="BTM44" s="77"/>
      <c r="BTN44" s="86"/>
      <c r="BTO44" s="82"/>
      <c r="BTP44" s="82"/>
      <c r="BTQ44" s="82"/>
      <c r="BTR44" s="82"/>
      <c r="BTS44" s="84"/>
      <c r="BTT44" s="84"/>
      <c r="BTU44" s="84"/>
      <c r="BTV44" s="72"/>
      <c r="BTW44" s="85"/>
      <c r="BTX44" s="72"/>
      <c r="BTY44" s="72"/>
      <c r="BTZ44" s="85"/>
      <c r="BUA44" s="71"/>
      <c r="BUB44" s="71"/>
      <c r="BUC44" s="72"/>
      <c r="BUD44" s="85"/>
      <c r="BUE44" s="76"/>
      <c r="BUF44" s="76"/>
      <c r="BUG44" s="76"/>
      <c r="BUH44" s="76"/>
      <c r="BUI44" s="77"/>
      <c r="BUJ44" s="86"/>
      <c r="BUK44" s="82"/>
      <c r="BUL44" s="82"/>
      <c r="BUM44" s="82"/>
      <c r="BUN44" s="82"/>
      <c r="BUO44" s="84"/>
      <c r="BUP44" s="84"/>
      <c r="BUQ44" s="84"/>
      <c r="BUR44" s="72"/>
      <c r="BUS44" s="85"/>
      <c r="BUT44" s="72"/>
      <c r="BUU44" s="72"/>
      <c r="BUV44" s="85"/>
      <c r="BUW44" s="71"/>
      <c r="BUX44" s="71"/>
      <c r="BUY44" s="72"/>
      <c r="BUZ44" s="85"/>
      <c r="BVA44" s="76"/>
      <c r="BVB44" s="76"/>
      <c r="BVC44" s="76"/>
      <c r="BVD44" s="76"/>
      <c r="BVE44" s="77"/>
      <c r="BVF44" s="86"/>
      <c r="BVG44" s="82"/>
      <c r="BVH44" s="82"/>
      <c r="BVI44" s="82"/>
      <c r="BVJ44" s="82"/>
      <c r="BVK44" s="84"/>
      <c r="BVL44" s="84"/>
      <c r="BVM44" s="84"/>
      <c r="BVN44" s="72"/>
      <c r="BVO44" s="85"/>
      <c r="BVP44" s="72"/>
      <c r="BVQ44" s="72"/>
      <c r="BVR44" s="85"/>
      <c r="BVS44" s="71"/>
      <c r="BVT44" s="71"/>
      <c r="BVU44" s="72"/>
      <c r="BVV44" s="85"/>
      <c r="BVW44" s="76"/>
      <c r="BVX44" s="76"/>
      <c r="BVY44" s="76"/>
      <c r="BVZ44" s="76"/>
      <c r="BWA44" s="77"/>
      <c r="BWB44" s="86"/>
      <c r="BWC44" s="82"/>
      <c r="BWD44" s="82"/>
      <c r="BWE44" s="82"/>
      <c r="BWF44" s="82"/>
      <c r="BWG44" s="84"/>
      <c r="BWH44" s="84"/>
      <c r="BWI44" s="84"/>
      <c r="BWJ44" s="72"/>
      <c r="BWK44" s="85"/>
      <c r="BWL44" s="72"/>
      <c r="BWM44" s="72"/>
      <c r="BWN44" s="85"/>
      <c r="BWO44" s="71"/>
      <c r="BWP44" s="71"/>
      <c r="BWQ44" s="72"/>
      <c r="BWR44" s="85"/>
      <c r="BWS44" s="76"/>
      <c r="BWT44" s="76"/>
      <c r="BWU44" s="76"/>
      <c r="BWV44" s="76"/>
      <c r="BWW44" s="77"/>
      <c r="BWX44" s="86"/>
      <c r="BWY44" s="82"/>
      <c r="BWZ44" s="82"/>
      <c r="BXA44" s="82"/>
      <c r="BXB44" s="82"/>
      <c r="BXC44" s="84"/>
      <c r="BXD44" s="84"/>
      <c r="BXE44" s="84"/>
      <c r="BXF44" s="72"/>
      <c r="BXG44" s="85"/>
      <c r="BXH44" s="72"/>
      <c r="BXI44" s="72"/>
      <c r="BXJ44" s="85"/>
      <c r="BXK44" s="71"/>
      <c r="BXL44" s="71"/>
      <c r="BXM44" s="72"/>
      <c r="BXN44" s="85"/>
      <c r="BXO44" s="76"/>
      <c r="BXP44" s="76"/>
      <c r="BXQ44" s="76"/>
      <c r="BXR44" s="76"/>
      <c r="BXS44" s="77"/>
      <c r="BXT44" s="86"/>
      <c r="BXU44" s="82"/>
      <c r="BXV44" s="82"/>
      <c r="BXW44" s="82"/>
      <c r="BXX44" s="82"/>
      <c r="BXY44" s="84"/>
      <c r="BXZ44" s="84"/>
      <c r="BYA44" s="84"/>
      <c r="BYB44" s="72"/>
      <c r="BYC44" s="85"/>
      <c r="BYD44" s="72"/>
      <c r="BYE44" s="72"/>
      <c r="BYF44" s="85"/>
      <c r="BYG44" s="71"/>
      <c r="BYH44" s="71"/>
      <c r="BYI44" s="72"/>
      <c r="BYJ44" s="85"/>
      <c r="BYK44" s="76"/>
      <c r="BYL44" s="76"/>
      <c r="BYM44" s="76"/>
      <c r="BYN44" s="76"/>
      <c r="BYO44" s="77"/>
      <c r="BYP44" s="86"/>
      <c r="BYQ44" s="82"/>
      <c r="BYR44" s="82"/>
      <c r="BYS44" s="82"/>
      <c r="BYT44" s="82"/>
      <c r="BYU44" s="84"/>
      <c r="BYV44" s="84"/>
      <c r="BYW44" s="84"/>
      <c r="BYX44" s="72"/>
      <c r="BYY44" s="85"/>
      <c r="BYZ44" s="72"/>
      <c r="BZA44" s="72"/>
      <c r="BZB44" s="85"/>
      <c r="BZC44" s="71"/>
      <c r="BZD44" s="71"/>
      <c r="BZE44" s="72"/>
      <c r="BZF44" s="85"/>
      <c r="BZG44" s="76"/>
      <c r="BZH44" s="76"/>
      <c r="BZI44" s="76"/>
      <c r="BZJ44" s="76"/>
      <c r="BZK44" s="77"/>
      <c r="BZL44" s="86"/>
      <c r="BZM44" s="82"/>
      <c r="BZN44" s="82"/>
      <c r="BZO44" s="82"/>
      <c r="BZP44" s="82"/>
      <c r="BZQ44" s="84"/>
      <c r="BZR44" s="84"/>
      <c r="BZS44" s="84"/>
      <c r="BZT44" s="72"/>
      <c r="BZU44" s="85"/>
      <c r="BZV44" s="72"/>
      <c r="BZW44" s="72"/>
      <c r="BZX44" s="85"/>
      <c r="BZY44" s="71"/>
      <c r="BZZ44" s="71"/>
      <c r="CAA44" s="72"/>
      <c r="CAB44" s="85"/>
      <c r="CAC44" s="76"/>
      <c r="CAD44" s="76"/>
      <c r="CAE44" s="76"/>
      <c r="CAF44" s="76"/>
      <c r="CAG44" s="77"/>
      <c r="CAH44" s="86"/>
      <c r="CAI44" s="82"/>
      <c r="CAJ44" s="82"/>
      <c r="CAK44" s="82"/>
      <c r="CAL44" s="82"/>
      <c r="CAM44" s="84"/>
      <c r="CAN44" s="84"/>
      <c r="CAO44" s="84"/>
      <c r="CAP44" s="72"/>
      <c r="CAQ44" s="85"/>
      <c r="CAR44" s="72"/>
      <c r="CAS44" s="72"/>
      <c r="CAT44" s="85"/>
      <c r="CAU44" s="71"/>
      <c r="CAV44" s="71"/>
      <c r="CAW44" s="72"/>
      <c r="CAX44" s="85"/>
      <c r="CAY44" s="76"/>
      <c r="CAZ44" s="76"/>
      <c r="CBA44" s="76"/>
      <c r="CBB44" s="76"/>
      <c r="CBC44" s="77"/>
      <c r="CBD44" s="86"/>
      <c r="CBE44" s="82"/>
      <c r="CBF44" s="82"/>
      <c r="CBG44" s="82"/>
      <c r="CBH44" s="82"/>
      <c r="CBI44" s="84"/>
      <c r="CBJ44" s="84"/>
      <c r="CBK44" s="84"/>
      <c r="CBL44" s="72"/>
      <c r="CBM44" s="85"/>
      <c r="CBN44" s="72"/>
      <c r="CBO44" s="72"/>
      <c r="CBP44" s="85"/>
      <c r="CBQ44" s="71"/>
      <c r="CBR44" s="71"/>
      <c r="CBS44" s="72"/>
      <c r="CBT44" s="85"/>
      <c r="CBU44" s="76"/>
      <c r="CBV44" s="76"/>
      <c r="CBW44" s="76"/>
      <c r="CBX44" s="76"/>
      <c r="CBY44" s="77"/>
      <c r="CBZ44" s="86"/>
      <c r="CCA44" s="82"/>
      <c r="CCB44" s="82"/>
      <c r="CCC44" s="82"/>
      <c r="CCD44" s="82"/>
      <c r="CCE44" s="84"/>
      <c r="CCF44" s="84"/>
      <c r="CCG44" s="84"/>
      <c r="CCH44" s="72"/>
      <c r="CCI44" s="85"/>
      <c r="CCJ44" s="72"/>
      <c r="CCK44" s="72"/>
      <c r="CCL44" s="85"/>
      <c r="CCM44" s="71"/>
      <c r="CCN44" s="71"/>
      <c r="CCO44" s="72"/>
      <c r="CCP44" s="85"/>
      <c r="CCQ44" s="76"/>
      <c r="CCR44" s="76"/>
      <c r="CCS44" s="76"/>
      <c r="CCT44" s="76"/>
      <c r="CCU44" s="77"/>
      <c r="CCV44" s="86"/>
      <c r="CCW44" s="82"/>
      <c r="CCX44" s="82"/>
      <c r="CCY44" s="82"/>
      <c r="CCZ44" s="82"/>
      <c r="CDA44" s="84"/>
      <c r="CDB44" s="84"/>
      <c r="CDC44" s="84"/>
      <c r="CDD44" s="72"/>
      <c r="CDE44" s="85"/>
      <c r="CDF44" s="72"/>
      <c r="CDG44" s="72"/>
      <c r="CDH44" s="85"/>
      <c r="CDI44" s="71"/>
      <c r="CDJ44" s="71"/>
      <c r="CDK44" s="72"/>
      <c r="CDL44" s="85"/>
      <c r="CDM44" s="76"/>
      <c r="CDN44" s="76"/>
      <c r="CDO44" s="76"/>
      <c r="CDP44" s="76"/>
      <c r="CDQ44" s="77"/>
      <c r="CDR44" s="86"/>
      <c r="CDS44" s="82"/>
      <c r="CDT44" s="82"/>
      <c r="CDU44" s="82"/>
      <c r="CDV44" s="82"/>
      <c r="CDW44" s="84"/>
      <c r="CDX44" s="84"/>
      <c r="CDY44" s="84"/>
      <c r="CDZ44" s="72"/>
      <c r="CEA44" s="85"/>
      <c r="CEB44" s="72"/>
      <c r="CEC44" s="72"/>
      <c r="CED44" s="85"/>
      <c r="CEE44" s="71"/>
      <c r="CEF44" s="71"/>
      <c r="CEG44" s="72"/>
      <c r="CEH44" s="85"/>
      <c r="CEI44" s="76"/>
      <c r="CEJ44" s="76"/>
      <c r="CEK44" s="76"/>
      <c r="CEL44" s="76"/>
      <c r="CEM44" s="77"/>
      <c r="CEN44" s="86"/>
      <c r="CEO44" s="82"/>
      <c r="CEP44" s="82"/>
      <c r="CEQ44" s="82"/>
      <c r="CER44" s="82"/>
      <c r="CES44" s="84"/>
      <c r="CET44" s="84"/>
      <c r="CEU44" s="84"/>
      <c r="CEV44" s="72"/>
      <c r="CEW44" s="85"/>
      <c r="CEX44" s="72"/>
      <c r="CEY44" s="72"/>
      <c r="CEZ44" s="85"/>
      <c r="CFA44" s="71"/>
      <c r="CFB44" s="71"/>
      <c r="CFC44" s="72"/>
      <c r="CFD44" s="85"/>
      <c r="CFE44" s="76"/>
      <c r="CFF44" s="76"/>
      <c r="CFG44" s="76"/>
      <c r="CFH44" s="76"/>
      <c r="CFI44" s="77"/>
      <c r="CFJ44" s="86"/>
      <c r="CFK44" s="82"/>
      <c r="CFL44" s="82"/>
      <c r="CFM44" s="82"/>
      <c r="CFN44" s="82"/>
      <c r="CFO44" s="84"/>
      <c r="CFP44" s="84"/>
      <c r="CFQ44" s="84"/>
      <c r="CFR44" s="72"/>
      <c r="CFS44" s="85"/>
      <c r="CFT44" s="72"/>
      <c r="CFU44" s="72"/>
      <c r="CFV44" s="85"/>
      <c r="CFW44" s="71"/>
      <c r="CFX44" s="71"/>
      <c r="CFY44" s="72"/>
      <c r="CFZ44" s="85"/>
      <c r="CGA44" s="76"/>
      <c r="CGB44" s="76"/>
      <c r="CGC44" s="76"/>
      <c r="CGD44" s="76"/>
      <c r="CGE44" s="77"/>
      <c r="CGF44" s="86"/>
      <c r="CGG44" s="82"/>
      <c r="CGH44" s="82"/>
      <c r="CGI44" s="82"/>
      <c r="CGJ44" s="82"/>
      <c r="CGK44" s="84"/>
      <c r="CGL44" s="84"/>
      <c r="CGM44" s="84"/>
      <c r="CGN44" s="72"/>
      <c r="CGO44" s="85"/>
      <c r="CGP44" s="72"/>
      <c r="CGQ44" s="72"/>
      <c r="CGR44" s="85"/>
      <c r="CGS44" s="71"/>
      <c r="CGT44" s="71"/>
      <c r="CGU44" s="72"/>
      <c r="CGV44" s="85"/>
      <c r="CGW44" s="76"/>
      <c r="CGX44" s="76"/>
      <c r="CGY44" s="76"/>
      <c r="CGZ44" s="76"/>
      <c r="CHA44" s="77"/>
      <c r="CHB44" s="86"/>
      <c r="CHC44" s="82"/>
      <c r="CHD44" s="82"/>
      <c r="CHE44" s="82"/>
      <c r="CHF44" s="82"/>
      <c r="CHG44" s="84"/>
      <c r="CHH44" s="84"/>
      <c r="CHI44" s="84"/>
      <c r="CHJ44" s="72"/>
      <c r="CHK44" s="85"/>
      <c r="CHL44" s="72"/>
      <c r="CHM44" s="72"/>
      <c r="CHN44" s="85"/>
      <c r="CHO44" s="71"/>
      <c r="CHP44" s="71"/>
      <c r="CHQ44" s="72"/>
      <c r="CHR44" s="85"/>
      <c r="CHS44" s="76"/>
      <c r="CHT44" s="76"/>
      <c r="CHU44" s="76"/>
      <c r="CHV44" s="76"/>
      <c r="CHW44" s="77"/>
      <c r="CHX44" s="86"/>
      <c r="CHY44" s="82"/>
      <c r="CHZ44" s="82"/>
      <c r="CIA44" s="82"/>
      <c r="CIB44" s="82"/>
      <c r="CIC44" s="84"/>
      <c r="CID44" s="84"/>
      <c r="CIE44" s="84"/>
      <c r="CIF44" s="72"/>
      <c r="CIG44" s="85"/>
      <c r="CIH44" s="72"/>
      <c r="CII44" s="72"/>
      <c r="CIJ44" s="85"/>
      <c r="CIK44" s="71"/>
      <c r="CIL44" s="71"/>
      <c r="CIM44" s="72"/>
      <c r="CIN44" s="85"/>
      <c r="CIO44" s="76"/>
      <c r="CIP44" s="76"/>
      <c r="CIQ44" s="76"/>
      <c r="CIR44" s="76"/>
      <c r="CIS44" s="77"/>
      <c r="CIT44" s="86"/>
      <c r="CIU44" s="82"/>
      <c r="CIV44" s="82"/>
      <c r="CIW44" s="82"/>
      <c r="CIX44" s="82"/>
      <c r="CIY44" s="84"/>
      <c r="CIZ44" s="84"/>
      <c r="CJA44" s="84"/>
      <c r="CJB44" s="72"/>
      <c r="CJC44" s="85"/>
      <c r="CJD44" s="72"/>
      <c r="CJE44" s="72"/>
      <c r="CJF44" s="85"/>
      <c r="CJG44" s="71"/>
      <c r="CJH44" s="71"/>
      <c r="CJI44" s="72"/>
      <c r="CJJ44" s="85"/>
      <c r="CJK44" s="76"/>
      <c r="CJL44" s="76"/>
      <c r="CJM44" s="76"/>
      <c r="CJN44" s="76"/>
      <c r="CJO44" s="77"/>
      <c r="CJP44" s="86"/>
      <c r="CJQ44" s="82"/>
      <c r="CJR44" s="82"/>
      <c r="CJS44" s="82"/>
      <c r="CJT44" s="82"/>
      <c r="CJU44" s="84"/>
      <c r="CJV44" s="84"/>
      <c r="CJW44" s="84"/>
      <c r="CJX44" s="72"/>
      <c r="CJY44" s="85"/>
      <c r="CJZ44" s="72"/>
      <c r="CKA44" s="72"/>
      <c r="CKB44" s="85"/>
      <c r="CKC44" s="71"/>
      <c r="CKD44" s="71"/>
      <c r="CKE44" s="72"/>
      <c r="CKF44" s="85"/>
      <c r="CKG44" s="76"/>
      <c r="CKH44" s="76"/>
      <c r="CKI44" s="76"/>
      <c r="CKJ44" s="76"/>
      <c r="CKK44" s="77"/>
      <c r="CKL44" s="86"/>
      <c r="CKM44" s="82"/>
      <c r="CKN44" s="82"/>
      <c r="CKO44" s="82"/>
      <c r="CKP44" s="82"/>
      <c r="CKQ44" s="84"/>
      <c r="CKR44" s="84"/>
      <c r="CKS44" s="84"/>
      <c r="CKT44" s="72"/>
      <c r="CKU44" s="85"/>
      <c r="CKV44" s="72"/>
      <c r="CKW44" s="72"/>
      <c r="CKX44" s="85"/>
      <c r="CKY44" s="71"/>
      <c r="CKZ44" s="71"/>
      <c r="CLA44" s="72"/>
      <c r="CLB44" s="85"/>
      <c r="CLC44" s="76"/>
      <c r="CLD44" s="76"/>
      <c r="CLE44" s="76"/>
      <c r="CLF44" s="76"/>
      <c r="CLG44" s="77"/>
      <c r="CLH44" s="86"/>
      <c r="CLI44" s="82"/>
      <c r="CLJ44" s="82"/>
      <c r="CLK44" s="82"/>
      <c r="CLL44" s="82"/>
      <c r="CLM44" s="84"/>
      <c r="CLN44" s="84"/>
      <c r="CLO44" s="84"/>
      <c r="CLP44" s="72"/>
      <c r="CLQ44" s="85"/>
      <c r="CLR44" s="72"/>
      <c r="CLS44" s="72"/>
      <c r="CLT44" s="85"/>
      <c r="CLU44" s="71"/>
      <c r="CLV44" s="71"/>
      <c r="CLW44" s="72"/>
      <c r="CLX44" s="85"/>
      <c r="CLY44" s="76"/>
      <c r="CLZ44" s="76"/>
      <c r="CMA44" s="76"/>
      <c r="CMB44" s="76"/>
      <c r="CMC44" s="77"/>
      <c r="CMD44" s="86"/>
      <c r="CME44" s="82"/>
      <c r="CMF44" s="82"/>
      <c r="CMG44" s="82"/>
      <c r="CMH44" s="82"/>
      <c r="CMI44" s="84"/>
      <c r="CMJ44" s="84"/>
      <c r="CMK44" s="84"/>
      <c r="CML44" s="72"/>
      <c r="CMM44" s="85"/>
      <c r="CMN44" s="72"/>
      <c r="CMO44" s="72"/>
      <c r="CMP44" s="85"/>
      <c r="CMQ44" s="71"/>
      <c r="CMR44" s="71"/>
      <c r="CMS44" s="72"/>
      <c r="CMT44" s="85"/>
      <c r="CMU44" s="76"/>
      <c r="CMV44" s="76"/>
      <c r="CMW44" s="76"/>
      <c r="CMX44" s="76"/>
      <c r="CMY44" s="77"/>
      <c r="CMZ44" s="86"/>
      <c r="CNA44" s="82"/>
      <c r="CNB44" s="82"/>
      <c r="CNC44" s="82"/>
      <c r="CND44" s="82"/>
      <c r="CNE44" s="84"/>
      <c r="CNF44" s="84"/>
      <c r="CNG44" s="84"/>
      <c r="CNH44" s="72"/>
      <c r="CNI44" s="85"/>
      <c r="CNJ44" s="72"/>
      <c r="CNK44" s="72"/>
      <c r="CNL44" s="85"/>
      <c r="CNM44" s="71"/>
      <c r="CNN44" s="71"/>
      <c r="CNO44" s="72"/>
      <c r="CNP44" s="85"/>
      <c r="CNQ44" s="76"/>
      <c r="CNR44" s="76"/>
      <c r="CNS44" s="76"/>
      <c r="CNT44" s="76"/>
      <c r="CNU44" s="77"/>
      <c r="CNV44" s="86"/>
      <c r="CNW44" s="82"/>
      <c r="CNX44" s="82"/>
      <c r="CNY44" s="82"/>
      <c r="CNZ44" s="82"/>
      <c r="COA44" s="84"/>
      <c r="COB44" s="84"/>
      <c r="COC44" s="84"/>
      <c r="COD44" s="72"/>
      <c r="COE44" s="85"/>
      <c r="COF44" s="72"/>
      <c r="COG44" s="72"/>
      <c r="COH44" s="85"/>
      <c r="COI44" s="71"/>
      <c r="COJ44" s="71"/>
      <c r="COK44" s="72"/>
      <c r="COL44" s="85"/>
      <c r="COM44" s="76"/>
      <c r="CON44" s="76"/>
      <c r="COO44" s="76"/>
      <c r="COP44" s="76"/>
      <c r="COQ44" s="77"/>
      <c r="COR44" s="86"/>
      <c r="COS44" s="82"/>
      <c r="COT44" s="82"/>
      <c r="COU44" s="82"/>
      <c r="COV44" s="82"/>
      <c r="COW44" s="84"/>
      <c r="COX44" s="84"/>
      <c r="COY44" s="84"/>
      <c r="COZ44" s="72"/>
      <c r="CPA44" s="85"/>
      <c r="CPB44" s="72"/>
      <c r="CPC44" s="72"/>
      <c r="CPD44" s="85"/>
      <c r="CPE44" s="71"/>
      <c r="CPF44" s="71"/>
      <c r="CPG44" s="72"/>
      <c r="CPH44" s="85"/>
      <c r="CPI44" s="76"/>
      <c r="CPJ44" s="76"/>
      <c r="CPK44" s="76"/>
      <c r="CPL44" s="76"/>
      <c r="CPM44" s="77"/>
      <c r="CPN44" s="86"/>
      <c r="CPO44" s="82"/>
      <c r="CPP44" s="82"/>
      <c r="CPQ44" s="82"/>
      <c r="CPR44" s="82"/>
      <c r="CPS44" s="84"/>
      <c r="CPT44" s="84"/>
      <c r="CPU44" s="84"/>
      <c r="CPV44" s="72"/>
      <c r="CPW44" s="85"/>
      <c r="CPX44" s="72"/>
      <c r="CPY44" s="72"/>
      <c r="CPZ44" s="85"/>
      <c r="CQA44" s="71"/>
      <c r="CQB44" s="71"/>
      <c r="CQC44" s="72"/>
      <c r="CQD44" s="85"/>
      <c r="CQE44" s="76"/>
      <c r="CQF44" s="76"/>
      <c r="CQG44" s="76"/>
      <c r="CQH44" s="76"/>
      <c r="CQI44" s="77"/>
      <c r="CQJ44" s="86"/>
      <c r="CQK44" s="82"/>
      <c r="CQL44" s="82"/>
      <c r="CQM44" s="82"/>
      <c r="CQN44" s="82"/>
      <c r="CQO44" s="84"/>
      <c r="CQP44" s="84"/>
      <c r="CQQ44" s="84"/>
      <c r="CQR44" s="72"/>
      <c r="CQS44" s="85"/>
      <c r="CQT44" s="72"/>
      <c r="CQU44" s="72"/>
      <c r="CQV44" s="85"/>
      <c r="CQW44" s="71"/>
      <c r="CQX44" s="71"/>
      <c r="CQY44" s="72"/>
      <c r="CQZ44" s="85"/>
      <c r="CRA44" s="76"/>
      <c r="CRB44" s="76"/>
      <c r="CRC44" s="76"/>
      <c r="CRD44" s="76"/>
      <c r="CRE44" s="77"/>
      <c r="CRF44" s="86"/>
      <c r="CRG44" s="82"/>
      <c r="CRH44" s="82"/>
      <c r="CRI44" s="82"/>
      <c r="CRJ44" s="82"/>
      <c r="CRK44" s="84"/>
      <c r="CRL44" s="84"/>
      <c r="CRM44" s="84"/>
      <c r="CRN44" s="72"/>
      <c r="CRO44" s="85"/>
      <c r="CRP44" s="72"/>
      <c r="CRQ44" s="72"/>
      <c r="CRR44" s="85"/>
      <c r="CRS44" s="71"/>
      <c r="CRT44" s="71"/>
      <c r="CRU44" s="72"/>
      <c r="CRV44" s="85"/>
      <c r="CRW44" s="76"/>
      <c r="CRX44" s="76"/>
      <c r="CRY44" s="76"/>
      <c r="CRZ44" s="76"/>
      <c r="CSA44" s="77"/>
      <c r="CSB44" s="86"/>
      <c r="CSC44" s="82"/>
      <c r="CSD44" s="82"/>
      <c r="CSE44" s="82"/>
      <c r="CSF44" s="82"/>
      <c r="CSG44" s="84"/>
      <c r="CSH44" s="84"/>
      <c r="CSI44" s="84"/>
      <c r="CSJ44" s="72"/>
      <c r="CSK44" s="85"/>
      <c r="CSL44" s="72"/>
      <c r="CSM44" s="72"/>
      <c r="CSN44" s="85"/>
      <c r="CSO44" s="71"/>
      <c r="CSP44" s="71"/>
      <c r="CSQ44" s="72"/>
      <c r="CSR44" s="85"/>
      <c r="CSS44" s="76"/>
      <c r="CST44" s="76"/>
      <c r="CSU44" s="76"/>
      <c r="CSV44" s="76"/>
      <c r="CSW44" s="77"/>
      <c r="CSX44" s="86"/>
      <c r="CSY44" s="82"/>
      <c r="CSZ44" s="82"/>
      <c r="CTA44" s="82"/>
      <c r="CTB44" s="82"/>
      <c r="CTC44" s="84"/>
      <c r="CTD44" s="84"/>
      <c r="CTE44" s="84"/>
      <c r="CTF44" s="72"/>
    </row>
    <row r="45" ht="80" customHeight="1" spans="1:1024 1025:2554">
      <c r="A45" s="87" t="s">
        <v>95</v>
      </c>
      <c r="B45" s="88"/>
      <c r="C45" s="88"/>
      <c r="D45" s="88"/>
      <c r="E45" s="88"/>
      <c r="F45" s="88"/>
      <c r="G45" s="88"/>
      <c r="H45" s="89"/>
      <c r="I45" s="88"/>
      <c r="J45" s="88"/>
      <c r="K45" s="76"/>
      <c r="L45" s="90">
        <f>SUM(L13:L44)</f>
        <v>51348</v>
      </c>
      <c r="M45" s="91"/>
      <c r="N45" s="92">
        <f>SUM(N13:N44)</f>
        <v>307536.84</v>
      </c>
      <c r="O45" s="93"/>
      <c r="P45" s="94">
        <f>SUM(P13:P44)</f>
        <v>107512.944525</v>
      </c>
      <c r="Q45" s="91"/>
      <c r="R45" s="95"/>
    </row>
    <row r="46" ht="80" customHeight="1" spans="1:1024 1025:2554">
      <c r="A46" s="96"/>
      <c r="B46" s="97"/>
      <c r="C46" s="97"/>
      <c r="D46" s="97"/>
      <c r="E46" s="97"/>
      <c r="F46" s="97"/>
      <c r="G46" s="97"/>
      <c r="H46" s="98"/>
      <c r="I46" s="97"/>
      <c r="J46" s="97"/>
      <c r="K46" s="76"/>
      <c r="L46" s="99"/>
      <c r="M46" s="100" t="s">
        <v>96</v>
      </c>
      <c r="N46" s="101">
        <f>N45*0.2</f>
        <v>61507.368</v>
      </c>
      <c r="O46" s="102"/>
      <c r="P46" s="103"/>
      <c r="Q46" s="100"/>
      <c r="R46" s="104"/>
    </row>
    <row r="47" s="3" customFormat="1" ht="50" customHeight="1" spans="1:1024 1025:2554">
      <c r="A47" s="105"/>
      <c r="B47" s="106"/>
      <c r="C47" s="106"/>
      <c r="D47" s="106"/>
      <c r="E47" s="106"/>
      <c r="F47" s="107"/>
      <c r="G47" s="107"/>
      <c r="H47" s="108"/>
      <c r="I47" s="106"/>
      <c r="J47" s="106"/>
      <c r="K47" s="109"/>
      <c r="L47" s="110"/>
      <c r="M47" s="111"/>
      <c r="N47" s="111"/>
      <c r="O47" s="112"/>
      <c r="P47" s="113"/>
      <c r="Q47" s="111"/>
      <c r="R47" s="114"/>
    </row>
    <row r="48" s="9" customFormat="1" ht="65" customHeight="1" spans="1:1024 1025:2554">
      <c r="A48" s="115" t="s">
        <v>97</v>
      </c>
      <c r="B48" s="116"/>
      <c r="C48" s="116"/>
      <c r="D48" s="116"/>
      <c r="E48" s="116"/>
      <c r="F48" s="117"/>
      <c r="G48" s="117"/>
      <c r="H48" s="118"/>
      <c r="I48" s="116"/>
      <c r="J48" s="116"/>
      <c r="K48" s="116"/>
      <c r="L48" s="116"/>
      <c r="M48" s="116"/>
      <c r="N48" s="116"/>
      <c r="O48" s="116"/>
      <c r="P48" s="118"/>
      <c r="Q48" s="116"/>
      <c r="R48" s="119"/>
      <c r="S48" s="120"/>
      <c r="T48" s="120"/>
      <c r="U48" s="120"/>
      <c r="V48" s="120"/>
      <c r="W48" s="120"/>
      <c r="X48" s="120"/>
      <c r="Y48" s="120"/>
      <c r="Z48" s="120"/>
      <c r="AA48" s="120"/>
      <c r="AB48" s="120"/>
      <c r="AC48" s="120"/>
      <c r="AD48" s="120"/>
      <c r="AE48" s="120"/>
      <c r="AF48" s="120"/>
      <c r="AG48" s="120"/>
      <c r="AH48" s="120"/>
      <c r="AI48" s="120"/>
      <c r="AJ48" s="120"/>
      <c r="AK48" s="120"/>
      <c r="AL48" s="120"/>
      <c r="AM48" s="120"/>
      <c r="AN48" s="120"/>
      <c r="AO48" s="120"/>
      <c r="AP48" s="120"/>
      <c r="AQ48" s="120"/>
      <c r="AR48" s="120"/>
      <c r="AS48" s="120"/>
      <c r="AT48" s="120"/>
      <c r="AU48" s="120"/>
      <c r="AV48" s="120"/>
      <c r="AW48" s="120"/>
      <c r="AX48" s="120"/>
      <c r="AY48" s="120"/>
      <c r="AZ48" s="120"/>
      <c r="BA48" s="120"/>
      <c r="BB48" s="120"/>
      <c r="BC48" s="120"/>
      <c r="BD48" s="120"/>
      <c r="BE48" s="120"/>
      <c r="BF48" s="120"/>
      <c r="BG48" s="120"/>
      <c r="BH48" s="120"/>
      <c r="BI48" s="120"/>
      <c r="BJ48" s="120"/>
      <c r="BK48" s="120"/>
      <c r="BL48" s="120"/>
      <c r="BM48" s="120"/>
      <c r="BN48" s="120"/>
      <c r="BO48" s="120"/>
      <c r="BP48" s="120"/>
      <c r="BQ48" s="120"/>
      <c r="BR48" s="120"/>
      <c r="BS48" s="120"/>
      <c r="BT48" s="120"/>
      <c r="BU48" s="120"/>
      <c r="BV48" s="120"/>
      <c r="BW48" s="120"/>
      <c r="BX48" s="120"/>
      <c r="BY48" s="120"/>
      <c r="BZ48" s="120"/>
      <c r="CA48" s="120"/>
      <c r="CB48" s="120"/>
      <c r="CC48" s="120"/>
      <c r="CD48" s="120"/>
      <c r="CE48" s="120"/>
      <c r="CF48" s="120"/>
      <c r="CG48" s="120"/>
      <c r="CH48" s="120"/>
      <c r="CI48" s="120"/>
      <c r="CJ48" s="120"/>
      <c r="CK48" s="120"/>
      <c r="CL48" s="120"/>
      <c r="CM48" s="120"/>
      <c r="CN48" s="120"/>
      <c r="CO48" s="120"/>
      <c r="CP48" s="120"/>
      <c r="CQ48" s="120"/>
      <c r="CR48" s="120"/>
      <c r="CS48" s="120"/>
      <c r="CT48" s="120"/>
      <c r="CU48" s="120"/>
      <c r="CV48" s="120"/>
      <c r="CW48" s="120"/>
      <c r="CX48" s="120"/>
      <c r="CY48" s="120"/>
      <c r="CZ48" s="120"/>
      <c r="DA48" s="120"/>
      <c r="DB48" s="120"/>
      <c r="DC48" s="120"/>
      <c r="DD48" s="120"/>
      <c r="DE48" s="120"/>
      <c r="DF48" s="120"/>
      <c r="DG48" s="120"/>
      <c r="DH48" s="120"/>
      <c r="DI48" s="120"/>
      <c r="DJ48" s="120"/>
      <c r="DK48" s="120"/>
      <c r="DL48" s="120"/>
      <c r="DM48" s="120"/>
      <c r="DN48" s="120"/>
      <c r="DO48" s="120"/>
      <c r="DP48" s="120"/>
      <c r="DQ48" s="120"/>
      <c r="DR48" s="120"/>
      <c r="DS48" s="120"/>
      <c r="DT48" s="120"/>
      <c r="DU48" s="120"/>
      <c r="DV48" s="120"/>
      <c r="DW48" s="120"/>
      <c r="DX48" s="120"/>
      <c r="DY48" s="120"/>
      <c r="DZ48" s="120"/>
      <c r="EA48" s="120"/>
      <c r="EB48" s="120"/>
      <c r="EC48" s="120"/>
      <c r="ED48" s="120"/>
      <c r="EE48" s="120"/>
      <c r="EF48" s="120"/>
      <c r="EG48" s="120"/>
      <c r="EH48" s="120"/>
      <c r="EI48" s="120"/>
      <c r="EJ48" s="120"/>
      <c r="EK48" s="120"/>
      <c r="EL48" s="120"/>
      <c r="EM48" s="120"/>
      <c r="EN48" s="120"/>
      <c r="EO48" s="120"/>
      <c r="EP48" s="120"/>
      <c r="EQ48" s="120"/>
      <c r="ER48" s="120"/>
      <c r="ES48" s="120"/>
      <c r="ET48" s="120"/>
      <c r="EU48" s="120"/>
      <c r="EV48" s="120"/>
      <c r="EW48" s="120"/>
      <c r="EX48" s="120"/>
      <c r="EY48" s="120"/>
      <c r="EZ48" s="120"/>
      <c r="FA48" s="120"/>
      <c r="FB48" s="120"/>
      <c r="FC48" s="120"/>
      <c r="FD48" s="120"/>
      <c r="FE48" s="120"/>
      <c r="FF48" s="120"/>
      <c r="FG48" s="120"/>
      <c r="FH48" s="120"/>
      <c r="FI48" s="120"/>
      <c r="FJ48" s="120"/>
      <c r="FK48" s="120"/>
      <c r="FL48" s="120"/>
      <c r="FM48" s="120"/>
      <c r="FN48" s="120"/>
      <c r="FO48" s="120"/>
      <c r="FP48" s="120"/>
      <c r="FQ48" s="120"/>
      <c r="FR48" s="120"/>
      <c r="FS48" s="120"/>
      <c r="FT48" s="120"/>
      <c r="FU48" s="120"/>
      <c r="FV48" s="120"/>
      <c r="FW48" s="120"/>
      <c r="FX48" s="120"/>
      <c r="FY48" s="120"/>
      <c r="FZ48" s="120"/>
      <c r="GA48" s="120"/>
      <c r="GB48" s="120"/>
      <c r="GC48" s="120"/>
      <c r="GD48" s="120"/>
      <c r="GE48" s="120"/>
      <c r="GF48" s="120"/>
      <c r="GG48" s="120"/>
      <c r="GH48" s="120"/>
      <c r="GI48" s="120"/>
      <c r="GJ48" s="120"/>
      <c r="GK48" s="120"/>
      <c r="GL48" s="120"/>
      <c r="GM48" s="120"/>
      <c r="GN48" s="120"/>
      <c r="GO48" s="120"/>
      <c r="GP48" s="120"/>
      <c r="GQ48" s="120"/>
      <c r="GR48" s="120"/>
      <c r="GS48" s="120"/>
      <c r="GT48" s="120"/>
      <c r="GU48" s="120"/>
      <c r="GV48" s="120"/>
      <c r="GW48" s="120"/>
      <c r="GX48" s="120"/>
      <c r="GY48" s="120"/>
      <c r="GZ48" s="120"/>
      <c r="HA48" s="120"/>
      <c r="HB48" s="120"/>
    </row>
    <row r="49" s="10" customFormat="1" ht="65" customHeight="1" spans="1:162">
      <c r="A49" s="121" t="s">
        <v>98</v>
      </c>
      <c r="B49" s="122"/>
      <c r="C49" s="122"/>
      <c r="D49" s="122"/>
      <c r="E49" s="122"/>
      <c r="F49" s="123" t="s">
        <v>99</v>
      </c>
      <c r="G49" s="123"/>
      <c r="H49" s="124"/>
      <c r="I49" s="123"/>
      <c r="J49" s="123"/>
      <c r="K49" s="123"/>
      <c r="L49" s="123"/>
      <c r="M49" s="123"/>
      <c r="N49" s="123"/>
      <c r="O49" s="123"/>
      <c r="P49" s="124"/>
      <c r="Q49" s="123"/>
      <c r="R49" s="125"/>
    </row>
    <row r="50" s="10" customFormat="1" ht="65" customHeight="1" spans="1:162">
      <c r="A50" s="121" t="s">
        <v>100</v>
      </c>
      <c r="B50" s="122"/>
      <c r="C50" s="122"/>
      <c r="D50" s="122"/>
      <c r="E50" s="122"/>
      <c r="F50" s="123" t="s">
        <v>101</v>
      </c>
      <c r="G50" s="123"/>
      <c r="H50" s="124"/>
      <c r="I50" s="123"/>
      <c r="J50" s="123"/>
      <c r="K50" s="123"/>
      <c r="L50" s="123"/>
      <c r="M50" s="123"/>
      <c r="N50" s="123"/>
      <c r="O50" s="123"/>
      <c r="P50" s="124"/>
      <c r="Q50" s="123"/>
      <c r="R50" s="125"/>
    </row>
    <row r="51" s="10" customFormat="1" ht="65" customHeight="1" spans="1:162">
      <c r="A51" s="121" t="s">
        <v>102</v>
      </c>
      <c r="B51" s="122"/>
      <c r="C51" s="122"/>
      <c r="D51" s="122"/>
      <c r="E51" s="122"/>
      <c r="F51" s="123" t="s">
        <v>103</v>
      </c>
      <c r="G51" s="123"/>
      <c r="H51" s="124"/>
      <c r="I51" s="123"/>
      <c r="J51" s="123"/>
      <c r="K51" s="123"/>
      <c r="L51" s="123"/>
      <c r="M51" s="123"/>
      <c r="N51" s="123"/>
      <c r="O51" s="123"/>
      <c r="P51" s="124"/>
      <c r="Q51" s="123"/>
      <c r="R51" s="125"/>
    </row>
    <row r="52" s="10" customFormat="1" ht="65" customHeight="1" spans="1:162">
      <c r="A52" s="121" t="s">
        <v>104</v>
      </c>
      <c r="B52" s="122"/>
      <c r="C52" s="122"/>
      <c r="D52" s="122"/>
      <c r="E52" s="122"/>
      <c r="F52" s="123" t="s">
        <v>105</v>
      </c>
      <c r="G52" s="123"/>
      <c r="H52" s="124"/>
      <c r="I52" s="123"/>
      <c r="J52" s="123"/>
      <c r="K52" s="123"/>
      <c r="L52" s="123"/>
      <c r="M52" s="123"/>
      <c r="N52" s="123"/>
      <c r="O52" s="123"/>
      <c r="P52" s="124"/>
      <c r="Q52" s="123"/>
      <c r="R52" s="125"/>
    </row>
    <row r="53" s="10" customFormat="1" ht="65" customHeight="1" spans="1:162">
      <c r="A53" s="121" t="s">
        <v>106</v>
      </c>
      <c r="B53" s="122"/>
      <c r="C53" s="122"/>
      <c r="D53" s="122"/>
      <c r="E53" s="122"/>
      <c r="F53" s="123" t="s">
        <v>107</v>
      </c>
      <c r="G53" s="123"/>
      <c r="H53" s="124"/>
      <c r="I53" s="123"/>
      <c r="J53" s="123"/>
      <c r="K53" s="123"/>
      <c r="L53" s="123"/>
      <c r="M53" s="123"/>
      <c r="N53" s="123"/>
      <c r="O53" s="123"/>
      <c r="P53" s="124"/>
      <c r="Q53" s="123"/>
      <c r="R53" s="125"/>
    </row>
    <row r="54" s="10" customFormat="1" ht="235" customHeight="1" spans="1:162">
      <c r="A54" s="121" t="s">
        <v>108</v>
      </c>
      <c r="B54" s="122"/>
      <c r="C54" s="122"/>
      <c r="D54" s="122"/>
      <c r="E54" s="122"/>
      <c r="F54" s="123" t="s">
        <v>109</v>
      </c>
      <c r="G54" s="123"/>
      <c r="H54" s="124"/>
      <c r="I54" s="123"/>
      <c r="J54" s="123"/>
      <c r="K54" s="123"/>
      <c r="L54" s="123"/>
      <c r="M54" s="123"/>
      <c r="N54" s="123"/>
      <c r="O54" s="123"/>
      <c r="P54" s="124"/>
      <c r="Q54" s="123"/>
      <c r="R54" s="125"/>
    </row>
    <row r="55" s="3" customFormat="1" ht="50" customHeight="1" spans="1:162">
      <c r="A55" s="126"/>
      <c r="B55" s="127"/>
      <c r="C55" s="127"/>
      <c r="D55" s="128"/>
      <c r="E55" s="129"/>
      <c r="F55" s="130"/>
      <c r="G55" s="130"/>
      <c r="H55" s="131"/>
      <c r="I55" s="132"/>
      <c r="J55" s="132"/>
      <c r="K55" s="133"/>
      <c r="L55" s="131"/>
      <c r="M55" s="132"/>
      <c r="N55" s="134"/>
      <c r="O55" s="135"/>
      <c r="P55" s="136"/>
      <c r="Q55" s="137"/>
      <c r="R55" s="138"/>
    </row>
    <row r="56" s="11" customFormat="1" ht="65" customHeight="1" spans="1:162">
      <c r="A56" s="139" t="s">
        <v>110</v>
      </c>
      <c r="B56" s="140"/>
      <c r="C56" s="140"/>
      <c r="D56" s="140"/>
      <c r="E56" s="140"/>
      <c r="F56" s="141"/>
      <c r="G56" s="141"/>
      <c r="H56" s="142"/>
      <c r="I56" s="141"/>
      <c r="J56" s="143"/>
      <c r="K56" s="140"/>
      <c r="L56" s="144"/>
      <c r="M56" s="140"/>
      <c r="N56" s="145"/>
      <c r="O56" s="146"/>
      <c r="P56" s="147"/>
      <c r="Q56" s="148"/>
      <c r="R56" s="149"/>
      <c r="S56" s="150"/>
      <c r="T56" s="150"/>
      <c r="U56" s="150"/>
      <c r="V56" s="150"/>
      <c r="W56" s="150"/>
      <c r="X56" s="150"/>
      <c r="Y56" s="150"/>
      <c r="Z56" s="150"/>
      <c r="AA56" s="150"/>
      <c r="AB56" s="150"/>
      <c r="AC56" s="150"/>
      <c r="AD56" s="150"/>
      <c r="AE56" s="150"/>
      <c r="AF56" s="150"/>
      <c r="AG56" s="150"/>
      <c r="AH56" s="150"/>
      <c r="AI56" s="150"/>
      <c r="AJ56" s="150"/>
      <c r="AK56" s="150"/>
      <c r="AL56" s="150"/>
      <c r="AM56" s="150"/>
      <c r="AN56" s="150"/>
      <c r="AO56" s="150"/>
      <c r="AP56" s="150"/>
      <c r="AQ56" s="150"/>
      <c r="AR56" s="150"/>
      <c r="AS56" s="150"/>
      <c r="AT56" s="150"/>
      <c r="AU56" s="150"/>
      <c r="AV56" s="150"/>
      <c r="AW56" s="150"/>
      <c r="AX56" s="150"/>
      <c r="AY56" s="150"/>
      <c r="AZ56" s="150"/>
      <c r="BA56" s="150"/>
      <c r="BB56" s="150"/>
      <c r="BC56" s="150"/>
      <c r="BD56" s="150"/>
      <c r="BE56" s="150"/>
      <c r="BF56" s="150"/>
      <c r="BG56" s="150"/>
      <c r="BH56" s="150"/>
      <c r="BI56" s="150"/>
      <c r="BJ56" s="150"/>
      <c r="BK56" s="150"/>
      <c r="BL56" s="150"/>
      <c r="BM56" s="150"/>
      <c r="BN56" s="150"/>
      <c r="BO56" s="150"/>
      <c r="BP56" s="150"/>
      <c r="BQ56" s="150"/>
      <c r="BR56" s="150"/>
      <c r="BS56" s="150"/>
      <c r="BT56" s="150"/>
      <c r="BU56" s="150"/>
      <c r="BV56" s="150"/>
      <c r="BW56" s="150"/>
      <c r="BX56" s="150"/>
      <c r="BY56" s="150"/>
      <c r="BZ56" s="150"/>
      <c r="CA56" s="150"/>
      <c r="CB56" s="150"/>
      <c r="CC56" s="150"/>
      <c r="CD56" s="150"/>
      <c r="CE56" s="150"/>
      <c r="CF56" s="150"/>
      <c r="CG56" s="150"/>
      <c r="CH56" s="150"/>
      <c r="CI56" s="150"/>
      <c r="CJ56" s="150"/>
      <c r="CK56" s="150"/>
      <c r="CL56" s="150"/>
      <c r="CM56" s="150"/>
      <c r="CN56" s="150"/>
      <c r="CO56" s="150"/>
      <c r="CP56" s="150"/>
      <c r="CQ56" s="150"/>
      <c r="CR56" s="150"/>
      <c r="CS56" s="150"/>
      <c r="CT56" s="150"/>
      <c r="CU56" s="150"/>
      <c r="CV56" s="150"/>
      <c r="CW56" s="150"/>
      <c r="CX56" s="150"/>
      <c r="CY56" s="150"/>
      <c r="CZ56" s="150"/>
      <c r="DA56" s="150"/>
      <c r="DB56" s="150"/>
      <c r="DC56" s="150"/>
      <c r="DD56" s="150"/>
      <c r="DE56" s="150"/>
      <c r="DF56" s="150"/>
      <c r="DG56" s="150"/>
      <c r="DH56" s="150"/>
      <c r="DI56" s="150"/>
      <c r="DJ56" s="150"/>
      <c r="DK56" s="150"/>
      <c r="DL56" s="150"/>
      <c r="DM56" s="150"/>
      <c r="DN56" s="150"/>
      <c r="DO56" s="150"/>
      <c r="DP56" s="150"/>
      <c r="DQ56" s="150"/>
      <c r="DR56" s="150"/>
      <c r="DS56" s="150"/>
      <c r="DT56" s="150"/>
      <c r="DU56" s="150"/>
      <c r="DV56" s="150"/>
      <c r="DW56" s="150"/>
      <c r="DX56" s="150"/>
      <c r="DY56" s="150"/>
      <c r="DZ56" s="150"/>
      <c r="EA56" s="150"/>
      <c r="EB56" s="150"/>
      <c r="EC56" s="150"/>
      <c r="ED56" s="150"/>
      <c r="EE56" s="150"/>
      <c r="EF56" s="150"/>
      <c r="EG56" s="150"/>
      <c r="EH56" s="150"/>
      <c r="EI56" s="150"/>
      <c r="EJ56" s="150"/>
      <c r="EK56" s="150"/>
      <c r="EL56" s="150"/>
      <c r="EM56" s="150"/>
      <c r="EN56" s="150"/>
      <c r="EO56" s="150"/>
      <c r="EP56" s="150"/>
      <c r="EQ56" s="150"/>
      <c r="ER56" s="150"/>
      <c r="ES56" s="150"/>
      <c r="ET56" s="150"/>
      <c r="EU56" s="150"/>
      <c r="EV56" s="150"/>
      <c r="EW56" s="150"/>
      <c r="EX56" s="150"/>
      <c r="EY56" s="150"/>
      <c r="EZ56" s="150"/>
      <c r="FA56" s="150"/>
      <c r="FB56" s="150"/>
      <c r="FC56" s="150"/>
      <c r="FD56" s="150"/>
      <c r="FE56" s="150"/>
      <c r="FF56" s="150"/>
    </row>
    <row r="57" s="11" customFormat="1" ht="65" customHeight="1" spans="1:162">
      <c r="A57" s="151" t="s">
        <v>111</v>
      </c>
      <c r="B57" s="152"/>
      <c r="C57" s="152"/>
      <c r="D57" s="152"/>
      <c r="E57" s="152"/>
      <c r="F57" s="141"/>
      <c r="G57" s="141"/>
      <c r="H57" s="153"/>
      <c r="I57" s="141"/>
      <c r="J57" s="154"/>
      <c r="K57" s="154"/>
      <c r="L57" s="155"/>
      <c r="M57" s="152"/>
      <c r="N57" s="145"/>
      <c r="O57" s="146"/>
      <c r="P57" s="147"/>
      <c r="Q57" s="148"/>
      <c r="R57" s="149"/>
      <c r="S57" s="150"/>
      <c r="T57" s="150"/>
      <c r="U57" s="150"/>
      <c r="V57" s="150"/>
      <c r="W57" s="150"/>
      <c r="X57" s="150"/>
      <c r="Y57" s="150"/>
      <c r="Z57" s="150"/>
      <c r="AA57" s="150"/>
      <c r="AB57" s="150"/>
      <c r="AC57" s="150"/>
      <c r="AD57" s="150"/>
      <c r="AE57" s="150"/>
      <c r="AF57" s="150"/>
      <c r="AG57" s="150"/>
      <c r="AH57" s="150"/>
      <c r="AI57" s="150"/>
      <c r="AJ57" s="150"/>
      <c r="AK57" s="150"/>
      <c r="AL57" s="150"/>
      <c r="AM57" s="150"/>
      <c r="AN57" s="150"/>
      <c r="AO57" s="150"/>
      <c r="AP57" s="150"/>
      <c r="AQ57" s="150"/>
      <c r="AR57" s="150"/>
      <c r="AS57" s="150"/>
      <c r="AT57" s="150"/>
      <c r="AU57" s="150"/>
      <c r="AV57" s="150"/>
      <c r="AW57" s="150"/>
      <c r="AX57" s="150"/>
      <c r="AY57" s="150"/>
      <c r="AZ57" s="150"/>
      <c r="BA57" s="150"/>
      <c r="BB57" s="150"/>
      <c r="BC57" s="150"/>
      <c r="BD57" s="150"/>
      <c r="BE57" s="150"/>
      <c r="BF57" s="150"/>
      <c r="BG57" s="150"/>
      <c r="BH57" s="150"/>
      <c r="BI57" s="150"/>
      <c r="BJ57" s="150"/>
      <c r="BK57" s="150"/>
      <c r="BL57" s="150"/>
      <c r="BM57" s="150"/>
      <c r="BN57" s="150"/>
      <c r="BO57" s="150"/>
      <c r="BP57" s="150"/>
      <c r="BQ57" s="150"/>
      <c r="BR57" s="150"/>
      <c r="BS57" s="150"/>
      <c r="BT57" s="150"/>
      <c r="BU57" s="150"/>
      <c r="BV57" s="150"/>
      <c r="BW57" s="150"/>
      <c r="BX57" s="150"/>
      <c r="BY57" s="150"/>
      <c r="BZ57" s="150"/>
      <c r="CA57" s="150"/>
      <c r="CB57" s="150"/>
      <c r="CC57" s="150"/>
      <c r="CD57" s="150"/>
      <c r="CE57" s="150"/>
      <c r="CF57" s="150"/>
      <c r="CG57" s="150"/>
      <c r="CH57" s="150"/>
      <c r="CI57" s="150"/>
      <c r="CJ57" s="150"/>
      <c r="CK57" s="150"/>
      <c r="CL57" s="150"/>
      <c r="CM57" s="150"/>
      <c r="CN57" s="150"/>
      <c r="CO57" s="150"/>
      <c r="CP57" s="150"/>
      <c r="CQ57" s="150"/>
      <c r="CR57" s="150"/>
      <c r="CS57" s="150"/>
      <c r="CT57" s="150"/>
      <c r="CU57" s="150"/>
      <c r="CV57" s="150"/>
      <c r="CW57" s="150"/>
      <c r="CX57" s="150"/>
      <c r="CY57" s="150"/>
      <c r="CZ57" s="150"/>
      <c r="DA57" s="150"/>
      <c r="DB57" s="150"/>
      <c r="DC57" s="150"/>
      <c r="DD57" s="150"/>
      <c r="DE57" s="150"/>
      <c r="DF57" s="150"/>
      <c r="DG57" s="150"/>
      <c r="DH57" s="150"/>
      <c r="DI57" s="150"/>
      <c r="DJ57" s="150"/>
      <c r="DK57" s="150"/>
      <c r="DL57" s="150"/>
      <c r="DM57" s="150"/>
      <c r="DN57" s="150"/>
      <c r="DO57" s="150"/>
      <c r="DP57" s="150"/>
      <c r="DQ57" s="150"/>
      <c r="DR57" s="150"/>
      <c r="DS57" s="150"/>
      <c r="DT57" s="150"/>
      <c r="DU57" s="150"/>
      <c r="DV57" s="150"/>
      <c r="DW57" s="150"/>
      <c r="DX57" s="150"/>
      <c r="DY57" s="150"/>
      <c r="DZ57" s="150"/>
      <c r="EA57" s="150"/>
      <c r="EB57" s="150"/>
      <c r="EC57" s="150"/>
      <c r="ED57" s="150"/>
      <c r="EE57" s="150"/>
      <c r="EF57" s="150"/>
      <c r="EG57" s="150"/>
      <c r="EH57" s="150"/>
      <c r="EI57" s="150"/>
      <c r="EJ57" s="150"/>
      <c r="EK57" s="150"/>
      <c r="EL57" s="150"/>
      <c r="EM57" s="150"/>
      <c r="EN57" s="150"/>
      <c r="EO57" s="150"/>
      <c r="EP57" s="150"/>
      <c r="EQ57" s="150"/>
      <c r="ER57" s="150"/>
      <c r="ES57" s="150"/>
      <c r="ET57" s="150"/>
      <c r="EU57" s="150"/>
      <c r="EV57" s="150"/>
      <c r="EW57" s="150"/>
      <c r="EX57" s="150"/>
      <c r="EY57" s="150"/>
      <c r="EZ57" s="150"/>
      <c r="FA57" s="150"/>
      <c r="FB57" s="150"/>
      <c r="FC57" s="150"/>
      <c r="FD57" s="150"/>
      <c r="FE57" s="150"/>
      <c r="FF57" s="150"/>
    </row>
    <row r="58" s="11" customFormat="1" ht="65" customHeight="1" spans="1:162">
      <c r="A58" s="151" t="s">
        <v>112</v>
      </c>
      <c r="B58" s="152"/>
      <c r="C58" s="152"/>
      <c r="D58" s="152"/>
      <c r="E58" s="152"/>
      <c r="F58" s="141"/>
      <c r="G58" s="141"/>
      <c r="H58" s="153"/>
      <c r="I58" s="141"/>
      <c r="J58" s="141"/>
      <c r="K58" s="154"/>
      <c r="L58" s="154"/>
      <c r="M58" s="155"/>
      <c r="N58" s="152"/>
      <c r="O58" s="156"/>
      <c r="P58" s="157"/>
      <c r="Q58" s="158"/>
      <c r="R58" s="159"/>
      <c r="S58" s="150"/>
      <c r="T58" s="150"/>
      <c r="U58" s="150"/>
      <c r="V58" s="150"/>
      <c r="W58" s="150"/>
      <c r="X58" s="150"/>
      <c r="Y58" s="150"/>
      <c r="Z58" s="150"/>
      <c r="AA58" s="150"/>
      <c r="AB58" s="150"/>
      <c r="AC58" s="150"/>
      <c r="AD58" s="150"/>
      <c r="AE58" s="150"/>
      <c r="AF58" s="150"/>
      <c r="AG58" s="150"/>
      <c r="AH58" s="150"/>
      <c r="AI58" s="150"/>
      <c r="AJ58" s="150"/>
      <c r="AK58" s="150"/>
      <c r="AL58" s="150"/>
      <c r="AM58" s="150"/>
      <c r="AN58" s="150"/>
      <c r="AO58" s="150"/>
      <c r="AP58" s="150"/>
      <c r="AQ58" s="150"/>
      <c r="AR58" s="150"/>
      <c r="AS58" s="150"/>
      <c r="AT58" s="150"/>
      <c r="AU58" s="150"/>
      <c r="AV58" s="150"/>
      <c r="AW58" s="150"/>
      <c r="AX58" s="150"/>
      <c r="AY58" s="150"/>
      <c r="AZ58" s="150"/>
      <c r="BA58" s="150"/>
      <c r="BB58" s="150"/>
      <c r="BC58" s="150"/>
      <c r="BD58" s="150"/>
      <c r="BE58" s="150"/>
      <c r="BF58" s="150"/>
      <c r="BG58" s="150"/>
      <c r="BH58" s="150"/>
      <c r="BI58" s="150"/>
      <c r="BJ58" s="150"/>
      <c r="BK58" s="150"/>
      <c r="BL58" s="150"/>
      <c r="BM58" s="150"/>
      <c r="BN58" s="150"/>
      <c r="BO58" s="150"/>
      <c r="BP58" s="150"/>
      <c r="BQ58" s="150"/>
      <c r="BR58" s="150"/>
      <c r="BS58" s="150"/>
      <c r="BT58" s="150"/>
      <c r="BU58" s="150"/>
      <c r="BV58" s="150"/>
      <c r="BW58" s="150"/>
      <c r="BX58" s="150"/>
      <c r="BY58" s="150"/>
      <c r="BZ58" s="150"/>
      <c r="CA58" s="150"/>
      <c r="CB58" s="150"/>
      <c r="CC58" s="150"/>
      <c r="CD58" s="150"/>
      <c r="CE58" s="150"/>
      <c r="CF58" s="150"/>
      <c r="CG58" s="150"/>
      <c r="CH58" s="150"/>
      <c r="CI58" s="150"/>
      <c r="CJ58" s="150"/>
      <c r="CK58" s="150"/>
      <c r="CL58" s="150"/>
      <c r="CM58" s="150"/>
      <c r="CN58" s="150"/>
      <c r="CO58" s="150"/>
      <c r="CP58" s="150"/>
      <c r="CQ58" s="150"/>
      <c r="CR58" s="150"/>
      <c r="CS58" s="150"/>
      <c r="CT58" s="150"/>
      <c r="CU58" s="150"/>
      <c r="CV58" s="150"/>
      <c r="CW58" s="150"/>
      <c r="CX58" s="150"/>
      <c r="CY58" s="150"/>
      <c r="CZ58" s="150"/>
      <c r="DA58" s="150"/>
      <c r="DB58" s="150"/>
      <c r="DC58" s="150"/>
      <c r="DD58" s="150"/>
      <c r="DE58" s="150"/>
      <c r="DF58" s="150"/>
      <c r="DG58" s="150"/>
      <c r="DH58" s="150"/>
      <c r="DI58" s="150"/>
      <c r="DJ58" s="150"/>
      <c r="DK58" s="150"/>
      <c r="DL58" s="150"/>
      <c r="DM58" s="150"/>
      <c r="DN58" s="150"/>
      <c r="DO58" s="150"/>
      <c r="DP58" s="150"/>
      <c r="DQ58" s="150"/>
      <c r="DR58" s="150"/>
      <c r="DS58" s="150"/>
      <c r="DT58" s="150"/>
      <c r="DU58" s="150"/>
      <c r="DV58" s="150"/>
      <c r="DW58" s="150"/>
      <c r="DX58" s="150"/>
      <c r="DY58" s="150"/>
      <c r="DZ58" s="150"/>
      <c r="EA58" s="150"/>
      <c r="EB58" s="150"/>
      <c r="EC58" s="150"/>
      <c r="ED58" s="150"/>
      <c r="EE58" s="150"/>
      <c r="EF58" s="150"/>
      <c r="EG58" s="150"/>
      <c r="EH58" s="150"/>
      <c r="EI58" s="150"/>
      <c r="EJ58" s="150"/>
      <c r="EK58" s="150"/>
      <c r="EL58" s="150"/>
      <c r="EM58" s="150"/>
      <c r="EN58" s="150"/>
      <c r="EO58" s="150"/>
      <c r="EP58" s="150"/>
      <c r="EQ58" s="150"/>
      <c r="ER58" s="150"/>
      <c r="ES58" s="150"/>
      <c r="ET58" s="150"/>
      <c r="EU58" s="150"/>
      <c r="EV58" s="150"/>
      <c r="EW58" s="150"/>
      <c r="EX58" s="150"/>
      <c r="EY58" s="150"/>
      <c r="EZ58" s="150"/>
      <c r="FA58" s="150"/>
      <c r="FB58" s="150"/>
      <c r="FC58" s="150"/>
      <c r="FD58" s="150"/>
      <c r="FE58" s="150"/>
      <c r="FF58" s="150"/>
    </row>
    <row r="59" s="11" customFormat="1" ht="65" customHeight="1" spans="1:162">
      <c r="A59" s="151" t="s">
        <v>113</v>
      </c>
      <c r="B59" s="152"/>
      <c r="C59" s="160"/>
      <c r="D59" s="160"/>
      <c r="E59" s="160"/>
      <c r="F59" s="161"/>
      <c r="G59" s="161"/>
      <c r="H59" s="162"/>
      <c r="I59" s="160"/>
      <c r="J59" s="160"/>
      <c r="K59" s="160"/>
      <c r="L59" s="160"/>
      <c r="M59" s="160"/>
      <c r="N59" s="160"/>
      <c r="O59" s="163"/>
      <c r="P59" s="164"/>
      <c r="Q59" s="165"/>
      <c r="R59" s="166"/>
      <c r="S59" s="150"/>
      <c r="T59" s="150"/>
      <c r="U59" s="150"/>
      <c r="V59" s="150"/>
      <c r="W59" s="150"/>
      <c r="X59" s="150"/>
      <c r="Y59" s="150"/>
      <c r="Z59" s="150"/>
      <c r="AA59" s="150"/>
      <c r="AB59" s="150"/>
      <c r="AC59" s="150"/>
      <c r="AD59" s="150"/>
      <c r="AE59" s="150"/>
      <c r="AF59" s="150"/>
      <c r="AG59" s="150"/>
      <c r="AH59" s="150"/>
      <c r="AI59" s="150"/>
      <c r="AJ59" s="150"/>
      <c r="AK59" s="150"/>
      <c r="AL59" s="150"/>
      <c r="AM59" s="150"/>
      <c r="AN59" s="150"/>
      <c r="AO59" s="150"/>
      <c r="AP59" s="150"/>
      <c r="AQ59" s="150"/>
      <c r="AR59" s="150"/>
      <c r="AS59" s="150"/>
      <c r="AT59" s="150"/>
      <c r="AU59" s="150"/>
      <c r="AV59" s="150"/>
      <c r="AW59" s="150"/>
      <c r="AX59" s="150"/>
      <c r="AY59" s="150"/>
      <c r="AZ59" s="150"/>
      <c r="BA59" s="150"/>
      <c r="BB59" s="150"/>
      <c r="BC59" s="150"/>
      <c r="BD59" s="150"/>
      <c r="BE59" s="150"/>
      <c r="BF59" s="150"/>
      <c r="BG59" s="150"/>
      <c r="BH59" s="150"/>
      <c r="BI59" s="150"/>
      <c r="BJ59" s="150"/>
      <c r="BK59" s="150"/>
      <c r="BL59" s="150"/>
      <c r="BM59" s="150"/>
      <c r="BN59" s="150"/>
      <c r="BO59" s="150"/>
      <c r="BP59" s="150"/>
      <c r="BQ59" s="150"/>
      <c r="BR59" s="150"/>
      <c r="BS59" s="150"/>
      <c r="BT59" s="150"/>
      <c r="BU59" s="150"/>
      <c r="BV59" s="150"/>
      <c r="BW59" s="150"/>
      <c r="BX59" s="150"/>
      <c r="BY59" s="150"/>
      <c r="BZ59" s="150"/>
      <c r="CA59" s="150"/>
      <c r="CB59" s="150"/>
      <c r="CC59" s="150"/>
      <c r="CD59" s="150"/>
      <c r="CE59" s="150"/>
      <c r="CF59" s="150"/>
      <c r="CG59" s="150"/>
      <c r="CH59" s="150"/>
      <c r="CI59" s="150"/>
      <c r="CJ59" s="150"/>
      <c r="CK59" s="150"/>
      <c r="CL59" s="150"/>
      <c r="CM59" s="150"/>
      <c r="CN59" s="150"/>
      <c r="CO59" s="150"/>
      <c r="CP59" s="150"/>
      <c r="CQ59" s="150"/>
      <c r="CR59" s="150"/>
      <c r="CS59" s="150"/>
      <c r="CT59" s="150"/>
      <c r="CU59" s="150"/>
      <c r="CV59" s="150"/>
      <c r="CW59" s="150"/>
      <c r="CX59" s="150"/>
      <c r="CY59" s="150"/>
      <c r="CZ59" s="150"/>
      <c r="DA59" s="150"/>
      <c r="DB59" s="150"/>
      <c r="DC59" s="150"/>
      <c r="DD59" s="150"/>
      <c r="DE59" s="150"/>
      <c r="DF59" s="150"/>
      <c r="DG59" s="150"/>
      <c r="DH59" s="150"/>
      <c r="DI59" s="150"/>
      <c r="DJ59" s="150"/>
      <c r="DK59" s="150"/>
      <c r="DL59" s="150"/>
      <c r="DM59" s="150"/>
      <c r="DN59" s="150"/>
      <c r="DO59" s="150"/>
      <c r="DP59" s="150"/>
      <c r="DQ59" s="150"/>
      <c r="DR59" s="150"/>
      <c r="DS59" s="150"/>
      <c r="DT59" s="150"/>
      <c r="DU59" s="150"/>
      <c r="DV59" s="150"/>
      <c r="DW59" s="150"/>
      <c r="DX59" s="150"/>
      <c r="DY59" s="150"/>
      <c r="DZ59" s="150"/>
      <c r="EA59" s="150"/>
      <c r="EB59" s="150"/>
      <c r="EC59" s="150"/>
      <c r="ED59" s="150"/>
      <c r="EE59" s="150"/>
      <c r="EF59" s="150"/>
      <c r="EG59" s="150"/>
      <c r="EH59" s="150"/>
      <c r="EI59" s="150"/>
      <c r="EJ59" s="150"/>
      <c r="EK59" s="150"/>
      <c r="EL59" s="150"/>
      <c r="EM59" s="150"/>
      <c r="EN59" s="150"/>
      <c r="EO59" s="150"/>
      <c r="EP59" s="150"/>
      <c r="EQ59" s="150"/>
      <c r="ER59" s="150"/>
      <c r="ES59" s="150"/>
      <c r="ET59" s="150"/>
      <c r="EU59" s="150"/>
      <c r="EV59" s="150"/>
      <c r="EW59" s="150"/>
      <c r="EX59" s="150"/>
      <c r="EY59" s="150"/>
      <c r="EZ59" s="150"/>
      <c r="FA59" s="150"/>
      <c r="FB59" s="150"/>
      <c r="FC59" s="150"/>
      <c r="FD59" s="150"/>
      <c r="FE59" s="150"/>
      <c r="FF59" s="150"/>
    </row>
    <row r="60" s="11" customFormat="1" ht="65" customHeight="1" spans="1:162">
      <c r="A60" s="151" t="s">
        <v>114</v>
      </c>
      <c r="B60" s="152"/>
      <c r="C60" s="152"/>
      <c r="D60" s="152"/>
      <c r="E60" s="152"/>
      <c r="F60" s="141"/>
      <c r="G60" s="141"/>
      <c r="H60" s="153"/>
      <c r="I60" s="152"/>
      <c r="J60" s="152"/>
      <c r="K60" s="152"/>
      <c r="L60" s="152"/>
      <c r="M60" s="152"/>
      <c r="N60" s="152"/>
      <c r="O60" s="156"/>
      <c r="P60" s="157"/>
      <c r="Q60" s="158"/>
      <c r="R60" s="159"/>
      <c r="S60" s="150"/>
      <c r="T60" s="150"/>
      <c r="U60" s="150"/>
      <c r="V60" s="150"/>
      <c r="W60" s="150"/>
      <c r="X60" s="150"/>
      <c r="Y60" s="150"/>
      <c r="Z60" s="150"/>
      <c r="AA60" s="150"/>
      <c r="AB60" s="150"/>
      <c r="AC60" s="150"/>
      <c r="AD60" s="150"/>
      <c r="AE60" s="150"/>
      <c r="AF60" s="150"/>
      <c r="AG60" s="150"/>
      <c r="AH60" s="150"/>
      <c r="AI60" s="150"/>
      <c r="AJ60" s="150"/>
      <c r="AK60" s="150"/>
      <c r="AL60" s="150"/>
      <c r="AM60" s="150"/>
      <c r="AN60" s="150"/>
      <c r="AO60" s="150"/>
      <c r="AP60" s="150"/>
      <c r="AQ60" s="150"/>
      <c r="AR60" s="150"/>
      <c r="AS60" s="150"/>
      <c r="AT60" s="150"/>
      <c r="AU60" s="150"/>
      <c r="AV60" s="150"/>
      <c r="AW60" s="150"/>
      <c r="AX60" s="150"/>
      <c r="AY60" s="150"/>
      <c r="AZ60" s="150"/>
      <c r="BA60" s="150"/>
      <c r="BB60" s="150"/>
      <c r="BC60" s="150"/>
      <c r="BD60" s="150"/>
      <c r="BE60" s="150"/>
      <c r="BF60" s="150"/>
      <c r="BG60" s="150"/>
      <c r="BH60" s="150"/>
      <c r="BI60" s="150"/>
      <c r="BJ60" s="150"/>
      <c r="BK60" s="150"/>
      <c r="BL60" s="150"/>
      <c r="BM60" s="150"/>
      <c r="BN60" s="150"/>
      <c r="BO60" s="150"/>
      <c r="BP60" s="150"/>
      <c r="BQ60" s="150"/>
      <c r="BR60" s="150"/>
      <c r="BS60" s="150"/>
      <c r="BT60" s="150"/>
      <c r="BU60" s="150"/>
      <c r="BV60" s="150"/>
      <c r="BW60" s="150"/>
      <c r="BX60" s="150"/>
      <c r="BY60" s="150"/>
      <c r="BZ60" s="150"/>
      <c r="CA60" s="150"/>
      <c r="CB60" s="150"/>
      <c r="CC60" s="150"/>
      <c r="CD60" s="150"/>
      <c r="CE60" s="150"/>
      <c r="CF60" s="150"/>
      <c r="CG60" s="150"/>
      <c r="CH60" s="150"/>
      <c r="CI60" s="150"/>
      <c r="CJ60" s="150"/>
      <c r="CK60" s="150"/>
      <c r="CL60" s="150"/>
      <c r="CM60" s="150"/>
      <c r="CN60" s="150"/>
      <c r="CO60" s="150"/>
      <c r="CP60" s="150"/>
      <c r="CQ60" s="150"/>
      <c r="CR60" s="150"/>
      <c r="CS60" s="150"/>
      <c r="CT60" s="150"/>
      <c r="CU60" s="150"/>
      <c r="CV60" s="150"/>
      <c r="CW60" s="150"/>
      <c r="CX60" s="150"/>
      <c r="CY60" s="150"/>
      <c r="CZ60" s="150"/>
      <c r="DA60" s="150"/>
      <c r="DB60" s="150"/>
      <c r="DC60" s="150"/>
      <c r="DD60" s="150"/>
      <c r="DE60" s="150"/>
      <c r="DF60" s="150"/>
      <c r="DG60" s="150"/>
      <c r="DH60" s="150"/>
      <c r="DI60" s="150"/>
      <c r="DJ60" s="150"/>
      <c r="DK60" s="150"/>
      <c r="DL60" s="150"/>
      <c r="DM60" s="150"/>
      <c r="DN60" s="150"/>
      <c r="DO60" s="150"/>
      <c r="DP60" s="150"/>
      <c r="DQ60" s="150"/>
      <c r="DR60" s="150"/>
      <c r="DS60" s="150"/>
      <c r="DT60" s="150"/>
      <c r="DU60" s="150"/>
      <c r="DV60" s="150"/>
      <c r="DW60" s="150"/>
      <c r="DX60" s="150"/>
      <c r="DY60" s="150"/>
      <c r="DZ60" s="150"/>
      <c r="EA60" s="150"/>
      <c r="EB60" s="150"/>
      <c r="EC60" s="150"/>
      <c r="ED60" s="150"/>
      <c r="EE60" s="150"/>
      <c r="EF60" s="150"/>
      <c r="EG60" s="150"/>
      <c r="EH60" s="150"/>
      <c r="EI60" s="150"/>
      <c r="EJ60" s="150"/>
      <c r="EK60" s="150"/>
      <c r="EL60" s="150"/>
      <c r="EM60" s="150"/>
      <c r="EN60" s="150"/>
      <c r="EO60" s="150"/>
      <c r="EP60" s="150"/>
      <c r="EQ60" s="150"/>
      <c r="ER60" s="150"/>
      <c r="ES60" s="150"/>
      <c r="ET60" s="150"/>
      <c r="EU60" s="150"/>
      <c r="EV60" s="150"/>
      <c r="EW60" s="150"/>
      <c r="EX60" s="150"/>
      <c r="EY60" s="150"/>
      <c r="EZ60" s="150"/>
      <c r="FA60" s="150"/>
      <c r="FB60" s="150"/>
      <c r="FC60" s="150"/>
      <c r="FD60" s="150"/>
      <c r="FE60" s="150"/>
      <c r="FF60" s="150"/>
    </row>
    <row r="61" s="11" customFormat="1" ht="65" customHeight="1" spans="1:162">
      <c r="A61" s="151" t="s">
        <v>115</v>
      </c>
      <c r="B61" s="152"/>
      <c r="C61" s="152"/>
      <c r="D61" s="152"/>
      <c r="E61" s="152"/>
      <c r="F61" s="141"/>
      <c r="G61" s="141"/>
      <c r="H61" s="153"/>
      <c r="I61" s="152"/>
      <c r="J61" s="152"/>
      <c r="K61" s="152"/>
      <c r="L61" s="152"/>
      <c r="M61" s="152"/>
      <c r="N61" s="152"/>
      <c r="O61" s="156"/>
      <c r="P61" s="157"/>
      <c r="Q61" s="158"/>
      <c r="R61" s="159"/>
      <c r="S61" s="150"/>
      <c r="T61" s="150"/>
      <c r="U61" s="150"/>
      <c r="V61" s="150"/>
      <c r="W61" s="150"/>
      <c r="X61" s="150"/>
      <c r="Y61" s="150"/>
      <c r="Z61" s="150"/>
      <c r="AA61" s="150"/>
      <c r="AB61" s="150"/>
      <c r="AC61" s="150"/>
      <c r="AD61" s="150"/>
      <c r="AE61" s="150"/>
      <c r="AF61" s="150"/>
      <c r="AG61" s="150"/>
      <c r="AH61" s="150"/>
      <c r="AI61" s="150"/>
      <c r="AJ61" s="150"/>
      <c r="AK61" s="150"/>
      <c r="AL61" s="150"/>
      <c r="AM61" s="150"/>
      <c r="AN61" s="150"/>
      <c r="AO61" s="150"/>
      <c r="AP61" s="150"/>
      <c r="AQ61" s="150"/>
      <c r="AR61" s="150"/>
      <c r="AS61" s="150"/>
      <c r="AT61" s="150"/>
      <c r="AU61" s="150"/>
      <c r="AV61" s="150"/>
      <c r="AW61" s="150"/>
      <c r="AX61" s="150"/>
      <c r="AY61" s="150"/>
      <c r="AZ61" s="150"/>
      <c r="BA61" s="150"/>
      <c r="BB61" s="150"/>
      <c r="BC61" s="150"/>
      <c r="BD61" s="150"/>
      <c r="BE61" s="150"/>
      <c r="BF61" s="150"/>
      <c r="BG61" s="150"/>
      <c r="BH61" s="150"/>
      <c r="BI61" s="150"/>
      <c r="BJ61" s="150"/>
      <c r="BK61" s="150"/>
      <c r="BL61" s="150"/>
      <c r="BM61" s="150"/>
      <c r="BN61" s="150"/>
      <c r="BO61" s="150"/>
      <c r="BP61" s="150"/>
      <c r="BQ61" s="150"/>
      <c r="BR61" s="150"/>
      <c r="BS61" s="150"/>
      <c r="BT61" s="150"/>
      <c r="BU61" s="150"/>
      <c r="BV61" s="150"/>
      <c r="BW61" s="150"/>
      <c r="BX61" s="150"/>
      <c r="BY61" s="150"/>
      <c r="BZ61" s="150"/>
      <c r="CA61" s="150"/>
      <c r="CB61" s="150"/>
      <c r="CC61" s="150"/>
      <c r="CD61" s="150"/>
      <c r="CE61" s="150"/>
      <c r="CF61" s="150"/>
      <c r="CG61" s="150"/>
      <c r="CH61" s="150"/>
      <c r="CI61" s="150"/>
      <c r="CJ61" s="150"/>
      <c r="CK61" s="150"/>
      <c r="CL61" s="150"/>
      <c r="CM61" s="150"/>
      <c r="CN61" s="150"/>
      <c r="CO61" s="150"/>
      <c r="CP61" s="150"/>
      <c r="CQ61" s="150"/>
      <c r="CR61" s="150"/>
      <c r="CS61" s="150"/>
      <c r="CT61" s="150"/>
      <c r="CU61" s="150"/>
      <c r="CV61" s="150"/>
      <c r="CW61" s="150"/>
      <c r="CX61" s="150"/>
      <c r="CY61" s="150"/>
      <c r="CZ61" s="150"/>
      <c r="DA61" s="150"/>
      <c r="DB61" s="150"/>
      <c r="DC61" s="150"/>
      <c r="DD61" s="150"/>
      <c r="DE61" s="150"/>
      <c r="DF61" s="150"/>
      <c r="DG61" s="150"/>
      <c r="DH61" s="150"/>
      <c r="DI61" s="150"/>
      <c r="DJ61" s="150"/>
      <c r="DK61" s="150"/>
      <c r="DL61" s="150"/>
      <c r="DM61" s="150"/>
      <c r="DN61" s="150"/>
      <c r="DO61" s="150"/>
      <c r="DP61" s="150"/>
      <c r="DQ61" s="150"/>
      <c r="DR61" s="150"/>
      <c r="DS61" s="150"/>
      <c r="DT61" s="150"/>
      <c r="DU61" s="150"/>
      <c r="DV61" s="150"/>
      <c r="DW61" s="150"/>
      <c r="DX61" s="150"/>
      <c r="DY61" s="150"/>
      <c r="DZ61" s="150"/>
      <c r="EA61" s="150"/>
      <c r="EB61" s="150"/>
      <c r="EC61" s="150"/>
      <c r="ED61" s="150"/>
      <c r="EE61" s="150"/>
      <c r="EF61" s="150"/>
      <c r="EG61" s="150"/>
      <c r="EH61" s="150"/>
      <c r="EI61" s="150"/>
      <c r="EJ61" s="150"/>
      <c r="EK61" s="150"/>
      <c r="EL61" s="150"/>
      <c r="EM61" s="150"/>
      <c r="EN61" s="150"/>
      <c r="EO61" s="150"/>
      <c r="EP61" s="150"/>
      <c r="EQ61" s="150"/>
      <c r="ER61" s="150"/>
      <c r="ES61" s="150"/>
      <c r="ET61" s="150"/>
      <c r="EU61" s="150"/>
      <c r="EV61" s="150"/>
      <c r="EW61" s="150"/>
      <c r="EX61" s="150"/>
      <c r="EY61" s="150"/>
      <c r="EZ61" s="150"/>
      <c r="FA61" s="150"/>
      <c r="FB61" s="150"/>
      <c r="FC61" s="150"/>
      <c r="FD61" s="150"/>
      <c r="FE61" s="150"/>
      <c r="FF61" s="150"/>
    </row>
    <row r="62" s="11" customFormat="1" ht="65" customHeight="1" spans="1:162">
      <c r="A62" s="151" t="s">
        <v>116</v>
      </c>
      <c r="B62" s="152"/>
      <c r="C62" s="152"/>
      <c r="D62" s="152"/>
      <c r="E62" s="152"/>
      <c r="F62" s="141"/>
      <c r="G62" s="141"/>
      <c r="H62" s="153"/>
      <c r="I62" s="152"/>
      <c r="J62" s="152"/>
      <c r="K62" s="152"/>
      <c r="L62" s="152"/>
      <c r="M62" s="152"/>
      <c r="N62" s="152"/>
      <c r="O62" s="156"/>
      <c r="P62" s="157"/>
      <c r="Q62" s="158"/>
      <c r="R62" s="159"/>
      <c r="S62" s="150"/>
      <c r="T62" s="150"/>
      <c r="U62" s="150"/>
      <c r="V62" s="150"/>
      <c r="W62" s="150"/>
      <c r="X62" s="150"/>
      <c r="Y62" s="150"/>
      <c r="Z62" s="150"/>
      <c r="AA62" s="150"/>
      <c r="AB62" s="150"/>
      <c r="AC62" s="150"/>
      <c r="AD62" s="150"/>
      <c r="AE62" s="150"/>
      <c r="AF62" s="150"/>
      <c r="AG62" s="150"/>
      <c r="AH62" s="150"/>
      <c r="AI62" s="150"/>
      <c r="AJ62" s="150"/>
      <c r="AK62" s="150"/>
      <c r="AL62" s="150"/>
      <c r="AM62" s="150"/>
      <c r="AN62" s="150"/>
      <c r="AO62" s="150"/>
      <c r="AP62" s="150"/>
      <c r="AQ62" s="150"/>
      <c r="AR62" s="150"/>
      <c r="AS62" s="150"/>
      <c r="AT62" s="150"/>
      <c r="AU62" s="150"/>
      <c r="AV62" s="150"/>
      <c r="AW62" s="150"/>
      <c r="AX62" s="150"/>
      <c r="AY62" s="150"/>
      <c r="AZ62" s="150"/>
      <c r="BA62" s="150"/>
      <c r="BB62" s="150"/>
      <c r="BC62" s="150"/>
      <c r="BD62" s="150"/>
      <c r="BE62" s="150"/>
      <c r="BF62" s="150"/>
      <c r="BG62" s="150"/>
      <c r="BH62" s="150"/>
      <c r="BI62" s="150"/>
      <c r="BJ62" s="150"/>
      <c r="BK62" s="150"/>
      <c r="BL62" s="150"/>
      <c r="BM62" s="150"/>
      <c r="BN62" s="150"/>
      <c r="BO62" s="150"/>
      <c r="BP62" s="150"/>
      <c r="BQ62" s="150"/>
      <c r="BR62" s="150"/>
      <c r="BS62" s="150"/>
      <c r="BT62" s="150"/>
      <c r="BU62" s="150"/>
      <c r="BV62" s="150"/>
      <c r="BW62" s="150"/>
      <c r="BX62" s="150"/>
      <c r="BY62" s="150"/>
      <c r="BZ62" s="150"/>
      <c r="CA62" s="150"/>
      <c r="CB62" s="150"/>
      <c r="CC62" s="150"/>
      <c r="CD62" s="150"/>
      <c r="CE62" s="150"/>
      <c r="CF62" s="150"/>
      <c r="CG62" s="150"/>
      <c r="CH62" s="150"/>
      <c r="CI62" s="150"/>
      <c r="CJ62" s="150"/>
      <c r="CK62" s="150"/>
      <c r="CL62" s="150"/>
      <c r="CM62" s="150"/>
      <c r="CN62" s="150"/>
      <c r="CO62" s="150"/>
      <c r="CP62" s="150"/>
      <c r="CQ62" s="150"/>
      <c r="CR62" s="150"/>
      <c r="CS62" s="150"/>
      <c r="CT62" s="150"/>
      <c r="CU62" s="150"/>
      <c r="CV62" s="150"/>
      <c r="CW62" s="150"/>
      <c r="CX62" s="150"/>
      <c r="CY62" s="150"/>
      <c r="CZ62" s="150"/>
      <c r="DA62" s="150"/>
      <c r="DB62" s="150"/>
      <c r="DC62" s="150"/>
      <c r="DD62" s="150"/>
      <c r="DE62" s="150"/>
      <c r="DF62" s="150"/>
      <c r="DG62" s="150"/>
      <c r="DH62" s="150"/>
      <c r="DI62" s="150"/>
      <c r="DJ62" s="150"/>
      <c r="DK62" s="150"/>
      <c r="DL62" s="150"/>
      <c r="DM62" s="150"/>
      <c r="DN62" s="150"/>
      <c r="DO62" s="150"/>
      <c r="DP62" s="150"/>
      <c r="DQ62" s="150"/>
      <c r="DR62" s="150"/>
      <c r="DS62" s="150"/>
      <c r="DT62" s="150"/>
      <c r="DU62" s="150"/>
      <c r="DV62" s="150"/>
      <c r="DW62" s="150"/>
      <c r="DX62" s="150"/>
      <c r="DY62" s="150"/>
      <c r="DZ62" s="150"/>
      <c r="EA62" s="150"/>
      <c r="EB62" s="150"/>
      <c r="EC62" s="150"/>
      <c r="ED62" s="150"/>
      <c r="EE62" s="150"/>
      <c r="EF62" s="150"/>
      <c r="EG62" s="150"/>
      <c r="EH62" s="150"/>
      <c r="EI62" s="150"/>
      <c r="EJ62" s="150"/>
      <c r="EK62" s="150"/>
      <c r="EL62" s="150"/>
      <c r="EM62" s="150"/>
      <c r="EN62" s="150"/>
      <c r="EO62" s="150"/>
      <c r="EP62" s="150"/>
      <c r="EQ62" s="150"/>
      <c r="ER62" s="150"/>
      <c r="ES62" s="150"/>
      <c r="ET62" s="150"/>
      <c r="EU62" s="150"/>
      <c r="EV62" s="150"/>
      <c r="EW62" s="150"/>
      <c r="EX62" s="150"/>
      <c r="EY62" s="150"/>
      <c r="EZ62" s="150"/>
      <c r="FA62" s="150"/>
      <c r="FB62" s="150"/>
      <c r="FC62" s="150"/>
      <c r="FD62" s="150"/>
      <c r="FE62" s="150"/>
      <c r="FF62" s="150"/>
    </row>
    <row r="63" s="12" customFormat="1" ht="65" customHeight="1" spans="1:162">
      <c r="A63" s="167"/>
      <c r="B63" s="168"/>
      <c r="C63" s="168"/>
      <c r="D63" s="168"/>
      <c r="E63" s="168"/>
      <c r="F63" s="168"/>
      <c r="G63" s="168"/>
      <c r="H63" s="169"/>
      <c r="I63" s="168"/>
      <c r="J63" s="170"/>
      <c r="K63" s="171"/>
      <c r="L63" s="172"/>
      <c r="M63" s="173"/>
      <c r="N63" s="174"/>
      <c r="O63" s="175"/>
      <c r="P63" s="176"/>
      <c r="Q63" s="177"/>
      <c r="R63" s="178"/>
    </row>
    <row r="64" s="2" customFormat="1" ht="65" customHeight="1" spans="1:162">
      <c r="A64" s="179" t="s">
        <v>117</v>
      </c>
      <c r="B64" s="180"/>
      <c r="C64" s="180"/>
      <c r="D64" s="180"/>
      <c r="E64" s="181"/>
      <c r="F64" s="182"/>
      <c r="G64" s="182"/>
      <c r="H64" s="183"/>
      <c r="I64" s="184"/>
      <c r="J64" s="180"/>
      <c r="K64" s="185"/>
      <c r="L64" s="186"/>
      <c r="M64" s="187" t="s">
        <v>118</v>
      </c>
      <c r="N64" s="187"/>
      <c r="O64" s="187"/>
      <c r="P64" s="188"/>
      <c r="Q64" s="187"/>
      <c r="R64" s="189"/>
    </row>
    <row r="65" s="13" customFormat="1" ht="35" customHeight="1" spans="1:18">
      <c r="A65" s="190"/>
      <c r="B65" s="191"/>
      <c r="C65" s="191"/>
      <c r="D65" s="191"/>
      <c r="E65" s="191"/>
      <c r="F65" s="192"/>
      <c r="G65" s="192"/>
      <c r="H65" s="193"/>
      <c r="I65" s="191"/>
      <c r="J65" s="191"/>
      <c r="K65" s="194"/>
      <c r="L65" s="195"/>
      <c r="M65" s="196"/>
      <c r="N65" s="196"/>
      <c r="O65" s="197"/>
      <c r="P65" s="198"/>
      <c r="Q65" s="196"/>
      <c r="R65" s="199"/>
    </row>
    <row r="66" spans="1:18">
      <c r="O66" s="200"/>
      <c r="P66" s="201"/>
      <c r="Q66" s="202"/>
      <c r="R66" s="202"/>
    </row>
  </sheetData>
  <autoFilter xmlns:etc="http://www.wps.cn/officeDocument/2017/etCustomData" ref="A10:CTF64" etc:filterBottomFollowUsedRange="0">
    <extLst/>
  </autoFilter>
  <mergeCells count="69">
    <mergeCell ref="A1:R1"/>
    <mergeCell ref="A2:R2"/>
    <mergeCell ref="A3:R3"/>
    <mergeCell ref="A4:R4"/>
    <mergeCell ref="B5:L5"/>
    <mergeCell ref="B6:L6"/>
    <mergeCell ref="B7:L7"/>
    <mergeCell ref="B8:L8"/>
    <mergeCell ref="B9:L9"/>
    <mergeCell ref="F10:G10"/>
    <mergeCell ref="K10:L10"/>
    <mergeCell ref="F11:G11"/>
    <mergeCell ref="A12:R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9:R49"/>
    <mergeCell ref="F50:R50"/>
    <mergeCell ref="F51:R51"/>
    <mergeCell ref="F52:R52"/>
    <mergeCell ref="F53:R53"/>
    <mergeCell ref="F54:R54"/>
    <mergeCell ref="A56:M56"/>
    <mergeCell ref="A57:M57"/>
    <mergeCell ref="M64:R64"/>
    <mergeCell ref="A10:A11"/>
    <mergeCell ref="B10:B11"/>
    <mergeCell ref="C10:C11"/>
    <mergeCell ref="D10:D11"/>
    <mergeCell ref="E10:E11"/>
    <mergeCell ref="I10:I11"/>
    <mergeCell ref="O10:O11"/>
    <mergeCell ref="P10:P11"/>
    <mergeCell ref="Q10:Q11"/>
    <mergeCell ref="R10:R11"/>
    <mergeCell ref="M5:N7"/>
    <mergeCell ref="O5:R7"/>
    <mergeCell ref="M8:N9"/>
    <mergeCell ref="O8:R9"/>
    <mergeCell ref="A45:J46"/>
  </mergeCells>
  <printOptions horizontalCentered="1" verticalCentered="1"/>
  <pageMargins left="0" right="0" top="0" bottom="0" header="0.196527777777778" footer="0.196527777777778"/>
  <pageSetup paperSize="9" scale="19" fitToHeight="0" orientation="portrait"/>
  <headerFooter/>
  <colBreaks count="1" manualBreakCount="1">
    <brk id="14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vpcsd</dc:creator>
  <cp:lastModifiedBy>山间的风</cp:lastModifiedBy>
  <dcterms:created xsi:type="dcterms:W3CDTF">2018-05-24T15:32:00Z</dcterms:created>
  <cp:lastPrinted>2024-08-06T00:05:00Z</cp:lastPrinted>
  <dcterms:modified xsi:type="dcterms:W3CDTF">2026-06-04T02:20:09Z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1AAD852700614656B598FA865294F252_13</vt:lpwstr>
  </property>
  <property fmtid="{D5CDD505-2E9C-101B-9397-08002B2CF9AE}" pid="4" name="CalculationRule">
    <vt:i4>0</vt:i4>
  </property>
</Properties>
</file>
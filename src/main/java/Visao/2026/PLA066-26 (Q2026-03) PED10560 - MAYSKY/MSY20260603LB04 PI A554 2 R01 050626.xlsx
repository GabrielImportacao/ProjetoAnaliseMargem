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20" r:id="rId1"/>
  </sheets>
  <definedNames>
    <definedName name="_xlnm._FilterDatabase" localSheetId="0" hidden="1">'Sheet1 (2)'!$A$10:$CSN$60</definedName>
    <definedName name="_xlnm.Print_Area" localSheetId="0">'Sheet1 (2)'!$A$1:$R$61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<sst xmlns="http://schemas.openxmlformats.org/spreadsheetml/2006/main" count="177" uniqueCount="129">
  <si>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</si>
  <si>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</si>
  <si>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</si>
  <si>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t xml:space="preserve">PROFORMA INVOICE </t>
  </si>
  <si>
    <t>BUYER</t>
  </si>
  <si>
    <t>PLASNOX IND E COM IMPORTACOES LTDA</t>
  </si>
  <si>
    <t>Invoice NO. :</t>
  </si>
  <si>
    <t>MSY20260603LB04</t>
  </si>
  <si>
    <t>ADD:</t>
  </si>
  <si>
    <t>Rua Bonifácio Haendchen, 755 - Belchior Central, Gaspar - SC, 89110-975 - BRAZIL</t>
  </si>
  <si>
    <t>CNPJ:</t>
  </si>
  <si>
    <t xml:space="preserve"> 79.925.442/0001-07</t>
  </si>
  <si>
    <t xml:space="preserve"> I.E.</t>
  </si>
  <si>
    <t>251.465.888</t>
  </si>
  <si>
    <t>Invoice Date:</t>
  </si>
  <si>
    <t xml:space="preserve">PHONE: </t>
  </si>
  <si>
    <t>5547-33316700</t>
  </si>
  <si>
    <t>Item</t>
  </si>
  <si>
    <t>ITEM ID</t>
  </si>
  <si>
    <t>Standard</t>
  </si>
  <si>
    <t>MATERIAL</t>
  </si>
  <si>
    <t>SIZE(Thickness x Length)</t>
  </si>
  <si>
    <t>ESPESSURA</t>
  </si>
  <si>
    <t>Thickness</t>
  </si>
  <si>
    <t>DESCRIPTION ENGLISH</t>
  </si>
  <si>
    <t>Length</t>
  </si>
  <si>
    <t>Quantity</t>
  </si>
  <si>
    <t>FOB</t>
  </si>
  <si>
    <t>TOTAL PRICE</t>
  </si>
  <si>
    <t>NET WEIGHT (kg)</t>
  </si>
  <si>
    <t>TOTAL WEIGHT (kg)</t>
  </si>
  <si>
    <t>NCM CODE</t>
  </si>
  <si>
    <t>HEAT NO.</t>
  </si>
  <si>
    <t>MM</t>
  </si>
  <si>
    <t>M/PCS</t>
  </si>
  <si>
    <t>QTD/6M</t>
  </si>
  <si>
    <t>QUANTITY/M</t>
  </si>
  <si>
    <t>PRICE USD</t>
  </si>
  <si>
    <t>US$</t>
  </si>
  <si>
    <t>Stainless Steel Welded Tubes A554</t>
  </si>
  <si>
    <t>MSC2405.1105</t>
  </si>
  <si>
    <t>A554</t>
  </si>
  <si>
    <t>020X040 x 1,2MM</t>
  </si>
  <si>
    <t>RECTANGULAR TUBE / ASTM A554 / OUTSIDE POLISHED 600 GRIT  / THICKNESS 1.2MM x LENGTH 6000MM</t>
  </si>
  <si>
    <t>MSC2405.1106</t>
  </si>
  <si>
    <t>020X050 x 1,2MM</t>
  </si>
  <si>
    <t>MSC2405.1111</t>
  </si>
  <si>
    <t>030X050 x 1,2MM</t>
  </si>
  <si>
    <t>MSC2405.1201</t>
  </si>
  <si>
    <t>010X020 x 1,5MM</t>
  </si>
  <si>
    <t>RECTANGULAR TUBE / ASTM A554 / OUTSIDE POLISHED 600 GRIT  / THICKNESS 1.5MM x LENGTH 6000MM</t>
  </si>
  <si>
    <t>MSC2405.1202</t>
  </si>
  <si>
    <t>010X030 x 1,5MM</t>
  </si>
  <si>
    <t>MSC2405.1205</t>
  </si>
  <si>
    <t>020X040 x 1,5MM</t>
  </si>
  <si>
    <t>MSC2405.1206</t>
  </si>
  <si>
    <t>020X050 x 1,5MM</t>
  </si>
  <si>
    <t>MSC2405.1211</t>
  </si>
  <si>
    <t>030X050 x 1,5MM</t>
  </si>
  <si>
    <t>MSC2405.1216</t>
  </si>
  <si>
    <t>040X060 x 1,5MM</t>
  </si>
  <si>
    <t>MSC2405.1220</t>
  </si>
  <si>
    <t>050X100 x 1,5MM</t>
  </si>
  <si>
    <t>MSC2405.1416</t>
  </si>
  <si>
    <t>040X060 x 2,0MM</t>
  </si>
  <si>
    <t>RECTANGULAR TUBE / ASTM A554 / OUTSIDE POLISHED 600 GRIT  / THICKNESS 2.0MM x LENGTH 6000MM</t>
  </si>
  <si>
    <t>MSC2405.1420</t>
  </si>
  <si>
    <t>050X100 x 2,0MM</t>
  </si>
  <si>
    <t>MSC2405.1212</t>
  </si>
  <si>
    <t>030x060 x 1,5MM</t>
  </si>
  <si>
    <t>MSC2404.1203</t>
  </si>
  <si>
    <t xml:space="preserve">020X020 x 1,5MM </t>
  </si>
  <si>
    <t>SQUARE TUBE / ASTM A554 / OUTSIDE POLISHED 600 GRIT  / THICKNESS 1.5MM x LENGTH 6000MM</t>
  </si>
  <si>
    <t>MSC2404.1205</t>
  </si>
  <si>
    <t xml:space="preserve">030X030 x 1,5MM </t>
  </si>
  <si>
    <t>MSC2404.1207</t>
  </si>
  <si>
    <t xml:space="preserve">040X040 x 1,5MM </t>
  </si>
  <si>
    <t>MSC2404.1208</t>
  </si>
  <si>
    <t>050X050 x 1,5MM</t>
  </si>
  <si>
    <t>MSC2404.1407</t>
  </si>
  <si>
    <t xml:space="preserve">040X040 x 2,0MM </t>
  </si>
  <si>
    <t>SQUARE TUBE / ASTM A554 / OUTSIDE POLISHED 600 GRIT  / THICKNESS 2.0MM x LENGTH 6000MM</t>
  </si>
  <si>
    <t>MSC2404.1103</t>
  </si>
  <si>
    <t xml:space="preserve">020X020 x 1,2MM </t>
  </si>
  <si>
    <t>SQUARE TUBE / ASTM A554 / OUTSIDE POLISHED 600 GRIT / THICKNESS 1.2MM x LENGTH 6000MM</t>
  </si>
  <si>
    <t>MSC2404.1105</t>
  </si>
  <si>
    <t xml:space="preserve">030X030 x 1,2MM </t>
  </si>
  <si>
    <t>MSC2404.1107</t>
  </si>
  <si>
    <t xml:space="preserve">040X040 x 1,2MM </t>
  </si>
  <si>
    <t>MSC2404.1108</t>
  </si>
  <si>
    <t>050X050 x 1,2MM</t>
  </si>
  <si>
    <t>MSC2404.1412</t>
  </si>
  <si>
    <t>100X100 x 2,0MM</t>
  </si>
  <si>
    <t>MSC2404.1209</t>
  </si>
  <si>
    <t>060X060 x 1,5MM</t>
  </si>
  <si>
    <t>SQUARE TUBE / ASTM A554 / OUTSIDE POLISHED 600 GRIT / THICKNESS 1.5MM x LENGTH 6000MM</t>
  </si>
  <si>
    <t>MSC2404.1408</t>
  </si>
  <si>
    <t>050X050 x 2,0MM</t>
  </si>
  <si>
    <t>SQUARE TUBE / ASTM A554 / OUTSIDE POLISHED 600 GRIT / THICKNESS 2.0MM x LENGTH 6000MM</t>
  </si>
  <si>
    <t>MSC2404.1409</t>
  </si>
  <si>
    <t>060X060 x 2,0MM</t>
  </si>
  <si>
    <t>SQUARE TUBE / ASTM A554 / OUTSIDE POLISHED 600 GRIT / THICKNESS 2.MM x LENGTH 6000MM</t>
  </si>
  <si>
    <t>MSC2404.1411</t>
  </si>
  <si>
    <t>080X080 x 2,0MM</t>
  </si>
  <si>
    <t>SQUARE TUBE / ASTM A554 / OUTSIDE POLISHED 600 GRIT / THICKNESS 3.0MM x LENGTH 6000MM</t>
  </si>
  <si>
    <t>SAY US DOLLARS FIFTY-EIGHT THOUSAND SIX HUNDRED AND EIGHTY-EIGHT AND TEN CENTS ONLY.</t>
  </si>
  <si>
    <t>Deposit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</si>
  <si>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</si>
  <si>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</si>
  <si>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</si>
  <si>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</si>
  <si>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</si>
  <si>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t xml:space="preserve">3.Packing:                  </t>
  </si>
  <si>
    <r>
      <t>Each tube in normal PVC bag,2 short ropes around each bundle</t>
    </r>
    <r>
      <rPr>
        <sz val="36"/>
        <rFont val="宋体"/>
        <charset val="134"/>
      </rPr>
      <t>；</t>
    </r>
  </si>
  <si>
    <r>
      <t>4.Tolerance:</t>
    </r>
    <r>
      <rPr>
        <sz val="36"/>
        <rFont val="Calibri"/>
        <charset val="134"/>
      </rPr>
      <t xml:space="preserve">          </t>
    </r>
  </si>
  <si>
    <t>Thickness: ±10%, quantity:±10%, others as per ASTM-A554 standard.</t>
  </si>
  <si>
    <t>5.CLAIM VALIDITY:</t>
  </si>
  <si>
    <t>IN CASE OF ANY CLAIM, IT SHOULD BE RAISED WITHIN ONE MONTH UPON RECEIVED MATERIAL.</t>
  </si>
  <si>
    <t>6.Delivery time and arrangement</t>
  </si>
  <si>
    <t>First shipment; 35 days(1cntr a270 and 1cntr a554 rectangular and square)
Second shipment; 60 days after the BL date of the last shipment(2cntr a270 and 1cntr a554 rectangular and square)
Third shipment; 60 days after the BL date of the last shipment(1cntr a270)</t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</si>
  <si>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</si>
  <si>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</si>
  <si>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</si>
  <si>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</si>
  <si>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</si>
  <si>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</si>
  <si>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</si>
  <si>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The seller: MAYSKY TRADING CO., LIMITED</t>
  </si>
  <si>
    <t>The buyer:PLASNOX IND. E COM. DE PLÁSTICOS LTDA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</si>
</sst>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&quot;US$&quot;#,##0.00;\-&quot;US$&quot;#,##0.00"/>
    <numFmt numFmtId="179" formatCode="0.000_ "/>
    <numFmt numFmtId="180" formatCode="0.00_);[Red]\(0.00\)"/>
    <numFmt numFmtId="181" formatCode="0_);\(0\)"/>
    <numFmt numFmtId="182" formatCode="0.00_);\(0.00\)"/>
    <numFmt numFmtId="183" formatCode="0_);[Red]\(0\)"/>
    <numFmt numFmtId="184" formatCode="&quot;US$&quot;#,##0.00_);\(&quot;US$&quot;#,##0.00\)"/>
  </numFmts>
  <fonts count="37">
    <font>
      <sz val="12"/>
      <color theme="1"/>
      <name val="宋体"/>
      <charset val="134"/>
      <scheme val="minor"/>
    </font>
    <font>
      <sz val="24"/>
      <color theme="1"/>
      <name val="Calibri"/>
      <charset val="134"/>
    </font>
    <font>
      <sz val="36"/>
      <color theme="1"/>
      <name val="Calibri"/>
      <charset val="134"/>
    </font>
    <font>
      <sz val="28"/>
      <color theme="1"/>
      <name val="Calibri"/>
      <charset val="134"/>
    </font>
    <font>
      <b/>
      <sz val="24"/>
      <color theme="1"/>
      <name val="Calibri"/>
      <charset val="134"/>
    </font>
    <font>
      <b/>
      <sz val="28"/>
      <color theme="1"/>
      <name val="Calibri"/>
      <charset val="134"/>
    </font>
    <font>
      <sz val="36"/>
      <name val="Calibri"/>
      <charset val="134"/>
    </font>
    <font>
      <sz val="36"/>
      <name val="宋体"/>
      <charset val="134"/>
    </font>
    <font>
      <sz val="28"/>
      <name val="Calibri"/>
      <charset val="134"/>
    </font>
    <font>
      <sz val="26"/>
      <color theme="1"/>
      <name val="Calibri"/>
      <charset val="134"/>
    </font>
    <font>
      <sz val="24"/>
      <name val="Calibri"/>
      <charset val="134"/>
    </font>
    <font>
      <b/>
      <sz val="48"/>
      <color theme="1"/>
      <name val="Calibri"/>
      <charset val="134"/>
    </font>
    <font>
      <b/>
      <sz val="28"/>
      <name val="Calibri"/>
      <charset val="134"/>
    </font>
    <font>
      <b/>
      <sz val="36"/>
      <name val="Calibri"/>
      <charset val="204"/>
    </font>
    <font>
      <sz val="28"/>
      <name val="Calibri"/>
      <charset val="204"/>
    </font>
    <font>
      <b/>
      <sz val="3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3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0" borderId="4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2" applyNumberFormat="0" applyAlignment="0" applyProtection="0">
      <alignment vertical="center"/>
    </xf>
    <xf numFmtId="0" fontId="26" fillId="7" borderId="43" applyNumberFormat="0" applyAlignment="0" applyProtection="0">
      <alignment vertical="center"/>
    </xf>
    <xf numFmtId="0" fontId="27" fillId="7" borderId="42" applyNumberFormat="0" applyAlignment="0" applyProtection="0">
      <alignment vertical="center"/>
    </xf>
    <xf numFmtId="0" fontId="28" fillId="8" borderId="44" applyNumberFormat="0" applyAlignment="0" applyProtection="0">
      <alignment vertical="center"/>
    </xf>
    <xf numFmtId="0" fontId="29" fillId="0" borderId="45" applyNumberFormat="0" applyFill="0" applyAlignment="0" applyProtection="0">
      <alignment vertical="center"/>
    </xf>
    <xf numFmtId="0" fontId="30" fillId="0" borderId="46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6" fillId="0" borderId="0">
      <alignment vertical="center"/>
    </xf>
    <xf numFmtId="0" fontId="36" fillId="0" borderId="0">
      <alignment vertical="center"/>
    </xf>
  </cellStyleXfs>
  <cellXfs count="21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76" fontId="11" fillId="0" borderId="7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176" fontId="8" fillId="0" borderId="7" xfId="0" applyNumberFormat="1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179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vertical="center"/>
    </xf>
    <xf numFmtId="176" fontId="3" fillId="0" borderId="0" xfId="0" applyNumberFormat="1" applyFont="1" applyFill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76" fontId="3" fillId="0" borderId="0" xfId="0" applyNumberFormat="1" applyFont="1" applyFill="1" applyBorder="1" applyAlignment="1"/>
    <xf numFmtId="176" fontId="3" fillId="0" borderId="0" xfId="0" applyNumberFormat="1" applyFont="1" applyFill="1" applyAlignment="1">
      <alignment horizont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176" fontId="12" fillId="3" borderId="12" xfId="0" applyNumberFormat="1" applyFont="1" applyFill="1" applyBorder="1" applyAlignment="1">
      <alignment horizontal="center" vertical="center" wrapText="1"/>
    </xf>
    <xf numFmtId="177" fontId="12" fillId="3" borderId="12" xfId="0" applyNumberFormat="1" applyFont="1" applyFill="1" applyBorder="1" applyAlignment="1">
      <alignment horizontal="center" vertical="center" wrapText="1"/>
    </xf>
    <xf numFmtId="178" fontId="12" fillId="3" borderId="12" xfId="0" applyNumberFormat="1" applyFont="1" applyFill="1" applyBorder="1" applyAlignment="1">
      <alignment horizontal="center" vertical="center" wrapText="1"/>
    </xf>
    <xf numFmtId="178" fontId="12" fillId="3" borderId="14" xfId="0" applyNumberFormat="1" applyFont="1" applyFill="1" applyBorder="1" applyAlignment="1">
      <alignment horizontal="center" vertical="center" wrapText="1"/>
    </xf>
    <xf numFmtId="176" fontId="12" fillId="3" borderId="10" xfId="0" applyNumberFormat="1" applyFont="1" applyFill="1" applyBorder="1" applyAlignment="1">
      <alignment horizontal="center" vertical="center" wrapText="1"/>
    </xf>
    <xf numFmtId="178" fontId="12" fillId="3" borderId="10" xfId="0" applyNumberFormat="1" applyFont="1" applyFill="1" applyBorder="1" applyAlignment="1">
      <alignment horizontal="center" vertical="center" wrapText="1"/>
    </xf>
    <xf numFmtId="178" fontId="12" fillId="3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 wrapText="1"/>
    </xf>
    <xf numFmtId="178" fontId="12" fillId="3" borderId="1" xfId="0" applyNumberFormat="1" applyFont="1" applyFill="1" applyBorder="1" applyAlignment="1">
      <alignment horizontal="center" vertical="center" wrapText="1"/>
    </xf>
    <xf numFmtId="178" fontId="12" fillId="3" borderId="2" xfId="0" applyNumberFormat="1" applyFont="1" applyFill="1" applyBorder="1" applyAlignment="1">
      <alignment horizontal="center" vertical="center" wrapText="1"/>
    </xf>
    <xf numFmtId="178" fontId="12" fillId="3" borderId="17" xfId="0" applyNumberFormat="1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176" fontId="8" fillId="0" borderId="1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3" fillId="0" borderId="12" xfId="0" applyNumberFormat="1" applyFont="1" applyFill="1" applyBorder="1" applyAlignment="1">
      <alignment horizontal="center" vertical="center"/>
    </xf>
    <xf numFmtId="178" fontId="14" fillId="0" borderId="24" xfId="0" applyNumberFormat="1" applyFont="1" applyFill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 wrapText="1"/>
    </xf>
    <xf numFmtId="176" fontId="14" fillId="0" borderId="12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79" fontId="14" fillId="0" borderId="12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176" fontId="8" fillId="0" borderId="10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178" fontId="3" fillId="0" borderId="10" xfId="0" applyNumberFormat="1" applyFont="1" applyFill="1" applyBorder="1" applyAlignment="1">
      <alignment horizontal="center" vertical="center"/>
    </xf>
    <xf numFmtId="179" fontId="14" fillId="0" borderId="10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176" fontId="8" fillId="0" borderId="23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178" fontId="3" fillId="0" borderId="23" xfId="0" applyNumberFormat="1" applyFont="1" applyFill="1" applyBorder="1" applyAlignment="1">
      <alignment horizontal="center" vertical="center"/>
    </xf>
    <xf numFmtId="179" fontId="14" fillId="0" borderId="26" xfId="0" applyNumberFormat="1" applyFont="1" applyFill="1" applyBorder="1" applyAlignment="1">
      <alignment horizontal="center" vertical="center"/>
    </xf>
    <xf numFmtId="179" fontId="14" fillId="0" borderId="27" xfId="0" applyNumberFormat="1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12" fillId="0" borderId="27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center" vertical="center"/>
    </xf>
    <xf numFmtId="178" fontId="5" fillId="0" borderId="15" xfId="0" applyNumberFormat="1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176" fontId="6" fillId="0" borderId="19" xfId="0" applyNumberFormat="1" applyFont="1" applyFill="1" applyBorder="1" applyAlignment="1">
      <alignment horizontal="center" vertical="center"/>
    </xf>
    <xf numFmtId="177" fontId="2" fillId="0" borderId="19" xfId="0" applyNumberFormat="1" applyFont="1" applyFill="1" applyBorder="1" applyAlignment="1">
      <alignment vertical="center"/>
    </xf>
    <xf numFmtId="176" fontId="2" fillId="0" borderId="19" xfId="0" applyNumberFormat="1" applyFont="1" applyFill="1" applyBorder="1" applyAlignment="1">
      <alignment vertical="center"/>
    </xf>
    <xf numFmtId="178" fontId="2" fillId="0" borderId="19" xfId="0" applyNumberFormat="1" applyFont="1" applyFill="1" applyBorder="1" applyAlignment="1">
      <alignment horizontal="center" vertical="center"/>
    </xf>
    <xf numFmtId="176" fontId="2" fillId="0" borderId="19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176" fontId="15" fillId="0" borderId="0" xfId="0" applyNumberFormat="1" applyFont="1" applyFill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80" fontId="15" fillId="0" borderId="24" xfId="0" applyNumberFormat="1" applyFont="1" applyFill="1" applyBorder="1" applyAlignment="1">
      <alignment vertical="center"/>
    </xf>
    <xf numFmtId="180" fontId="1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center" wrapText="1" readingOrder="1"/>
    </xf>
    <xf numFmtId="176" fontId="6" fillId="0" borderId="0" xfId="0" applyNumberFormat="1" applyFont="1" applyFill="1" applyAlignment="1">
      <alignment horizontal="left" vertical="center" wrapText="1" readingOrder="1"/>
    </xf>
    <xf numFmtId="176" fontId="2" fillId="0" borderId="0" xfId="0" applyNumberFormat="1" applyFont="1" applyFill="1" applyBorder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180" fontId="12" fillId="0" borderId="30" xfId="0" applyNumberFormat="1" applyFont="1" applyFill="1" applyBorder="1" applyAlignment="1">
      <alignment horizontal="left" vertical="center"/>
    </xf>
    <xf numFmtId="180" fontId="12" fillId="0" borderId="0" xfId="0" applyNumberFormat="1" applyFont="1" applyFill="1" applyAlignment="1">
      <alignment horizontal="left" vertical="center"/>
    </xf>
    <xf numFmtId="180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 wrapText="1" readingOrder="1"/>
    </xf>
    <xf numFmtId="176" fontId="8" fillId="0" borderId="0" xfId="0" applyNumberFormat="1" applyFont="1" applyFill="1" applyAlignment="1">
      <alignment horizontal="center" vertical="center" wrapText="1" readingOrder="1"/>
    </xf>
    <xf numFmtId="0" fontId="8" fillId="0" borderId="0" xfId="0" applyFont="1" applyFill="1" applyAlignment="1">
      <alignment horizontal="left" vertical="center" wrapText="1" readingOrder="1"/>
    </xf>
    <xf numFmtId="177" fontId="8" fillId="0" borderId="0" xfId="0" applyNumberFormat="1" applyFont="1" applyFill="1" applyAlignment="1">
      <alignment horizontal="left" vertical="center" wrapText="1" readingOrder="1"/>
    </xf>
    <xf numFmtId="176" fontId="8" fillId="0" borderId="0" xfId="0" applyNumberFormat="1" applyFont="1" applyFill="1" applyAlignment="1">
      <alignment horizontal="left" vertical="center" wrapText="1" readingOrder="1"/>
    </xf>
    <xf numFmtId="178" fontId="8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178" fontId="8" fillId="0" borderId="31" xfId="0" applyNumberFormat="1" applyFont="1" applyFill="1" applyBorder="1" applyAlignment="1">
      <alignment horizontal="center" vertical="center"/>
    </xf>
    <xf numFmtId="180" fontId="15" fillId="0" borderId="30" xfId="0" applyNumberFormat="1" applyFont="1" applyBorder="1" applyAlignment="1">
      <alignment horizontal="left" vertical="center"/>
    </xf>
    <xf numFmtId="180" fontId="15" fillId="0" borderId="0" xfId="0" applyNumberFormat="1" applyFont="1" applyAlignment="1">
      <alignment horizontal="left" vertical="center"/>
    </xf>
    <xf numFmtId="180" fontId="15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81" fontId="15" fillId="0" borderId="0" xfId="0" applyNumberFormat="1" applyFont="1" applyAlignment="1">
      <alignment horizontal="left" vertical="center"/>
    </xf>
    <xf numFmtId="182" fontId="15" fillId="0" borderId="0" xfId="0" applyNumberFormat="1" applyFont="1" applyAlignment="1">
      <alignment horizontal="left" vertical="center"/>
    </xf>
    <xf numFmtId="182" fontId="2" fillId="0" borderId="0" xfId="0" applyNumberFormat="1" applyFont="1"/>
    <xf numFmtId="176" fontId="2" fillId="0" borderId="0" xfId="0" applyNumberFormat="1" applyFont="1" applyBorder="1"/>
    <xf numFmtId="182" fontId="2" fillId="0" borderId="0" xfId="0" applyNumberFormat="1" applyFont="1" applyBorder="1"/>
    <xf numFmtId="182" fontId="2" fillId="0" borderId="31" xfId="0" applyNumberFormat="1" applyFont="1" applyBorder="1"/>
    <xf numFmtId="0" fontId="6" fillId="0" borderId="0" xfId="0" applyFont="1" applyAlignment="1">
      <alignment vertical="center"/>
    </xf>
    <xf numFmtId="180" fontId="15" fillId="0" borderId="30" xfId="0" applyNumberFormat="1" applyFont="1" applyBorder="1" applyAlignment="1">
      <alignment vertical="center"/>
    </xf>
    <xf numFmtId="180" fontId="15" fillId="0" borderId="0" xfId="0" applyNumberFormat="1" applyFont="1" applyAlignment="1">
      <alignment vertical="center"/>
    </xf>
    <xf numFmtId="181" fontId="15" fillId="0" borderId="0" xfId="0" applyNumberFormat="1" applyFont="1" applyAlignment="1">
      <alignment vertical="center"/>
    </xf>
    <xf numFmtId="182" fontId="15" fillId="0" borderId="0" xfId="0" applyNumberFormat="1" applyFont="1" applyAlignment="1">
      <alignment vertical="center"/>
    </xf>
    <xf numFmtId="176" fontId="15" fillId="0" borderId="0" xfId="0" applyNumberFormat="1" applyFont="1" applyBorder="1" applyAlignment="1">
      <alignment vertical="center"/>
    </xf>
    <xf numFmtId="180" fontId="15" fillId="0" borderId="0" xfId="0" applyNumberFormat="1" applyFont="1" applyBorder="1" applyAlignment="1">
      <alignment vertical="center"/>
    </xf>
    <xf numFmtId="180" fontId="15" fillId="0" borderId="31" xfId="0" applyNumberFormat="1" applyFont="1" applyBorder="1" applyAlignment="1">
      <alignment vertical="center"/>
    </xf>
    <xf numFmtId="180" fontId="15" fillId="0" borderId="0" xfId="0" applyNumberFormat="1" applyFont="1" applyAlignment="1">
      <alignment vertical="center" shrinkToFit="1"/>
    </xf>
    <xf numFmtId="180" fontId="15" fillId="0" borderId="0" xfId="0" applyNumberFormat="1" applyFont="1" applyAlignment="1">
      <alignment horizontal="center" vertical="center" shrinkToFit="1"/>
    </xf>
    <xf numFmtId="176" fontId="15" fillId="0" borderId="0" xfId="0" applyNumberFormat="1" applyFont="1" applyAlignment="1">
      <alignment horizontal="center" vertical="center" shrinkToFit="1"/>
    </xf>
    <xf numFmtId="176" fontId="15" fillId="0" borderId="0" xfId="0" applyNumberFormat="1" applyFont="1" applyBorder="1" applyAlignment="1">
      <alignment vertical="center" shrinkToFit="1"/>
    </xf>
    <xf numFmtId="180" fontId="15" fillId="0" borderId="0" xfId="0" applyNumberFormat="1" applyFont="1" applyBorder="1" applyAlignment="1">
      <alignment vertical="center" shrinkToFit="1"/>
    </xf>
    <xf numFmtId="180" fontId="15" fillId="0" borderId="31" xfId="0" applyNumberFormat="1" applyFont="1" applyBorder="1" applyAlignment="1">
      <alignment vertical="center" shrinkToFit="1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76" fontId="3" fillId="0" borderId="33" xfId="0" applyNumberFormat="1" applyFont="1" applyBorder="1" applyAlignment="1">
      <alignment horizontal="center" vertical="center"/>
    </xf>
    <xf numFmtId="181" fontId="3" fillId="0" borderId="33" xfId="0" applyNumberFormat="1" applyFont="1" applyBorder="1" applyAlignment="1">
      <alignment horizontal="center" vertical="center"/>
    </xf>
    <xf numFmtId="183" fontId="3" fillId="0" borderId="33" xfId="0" applyNumberFormat="1" applyFont="1" applyBorder="1" applyAlignment="1">
      <alignment horizontal="center" vertical="center"/>
    </xf>
    <xf numFmtId="182" fontId="3" fillId="0" borderId="33" xfId="0" applyNumberFormat="1" applyFont="1" applyBorder="1" applyAlignment="1">
      <alignment horizontal="center" vertical="center"/>
    </xf>
    <xf numFmtId="184" fontId="3" fillId="0" borderId="33" xfId="0" applyNumberFormat="1" applyFont="1" applyBorder="1" applyAlignment="1">
      <alignment vertical="center"/>
    </xf>
    <xf numFmtId="182" fontId="3" fillId="0" borderId="0" xfId="0" applyNumberFormat="1" applyFont="1"/>
    <xf numFmtId="176" fontId="3" fillId="0" borderId="0" xfId="0" applyNumberFormat="1" applyFont="1" applyBorder="1"/>
    <xf numFmtId="182" fontId="3" fillId="0" borderId="0" xfId="0" applyNumberFormat="1" applyFont="1" applyBorder="1"/>
    <xf numFmtId="182" fontId="3" fillId="0" borderId="31" xfId="0" applyNumberFormat="1" applyFont="1" applyBorder="1"/>
    <xf numFmtId="0" fontId="6" fillId="0" borderId="3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80" fontId="6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9" fontId="6" fillId="0" borderId="34" xfId="0" applyNumberFormat="1" applyFont="1" applyFill="1" applyBorder="1" applyAlignment="1">
      <alignment horizontal="left" vertical="center" wrapText="1"/>
    </xf>
    <xf numFmtId="176" fontId="6" fillId="0" borderId="34" xfId="0" applyNumberFormat="1" applyFont="1" applyFill="1" applyBorder="1" applyAlignment="1">
      <alignment horizontal="left" vertical="center" wrapText="1"/>
    </xf>
    <xf numFmtId="179" fontId="6" fillId="0" borderId="35" xfId="0" applyNumberFormat="1" applyFont="1" applyFill="1" applyBorder="1" applyAlignment="1">
      <alignment horizontal="left" vertical="center" wrapText="1"/>
    </xf>
    <xf numFmtId="0" fontId="3" fillId="0" borderId="36" xfId="0" applyFont="1" applyFill="1" applyBorder="1" applyAlignment="1">
      <alignment vertical="center"/>
    </xf>
    <xf numFmtId="0" fontId="3" fillId="0" borderId="37" xfId="0" applyFont="1" applyFill="1" applyBorder="1" applyAlignment="1">
      <alignment vertical="center"/>
    </xf>
    <xf numFmtId="0" fontId="3" fillId="0" borderId="37" xfId="0" applyFont="1" applyFill="1" applyBorder="1" applyAlignment="1">
      <alignment horizontal="center" vertical="center"/>
    </xf>
    <xf numFmtId="176" fontId="8" fillId="0" borderId="37" xfId="0" applyNumberFormat="1" applyFont="1" applyFill="1" applyBorder="1" applyAlignment="1">
      <alignment horizontal="center" vertical="center"/>
    </xf>
    <xf numFmtId="177" fontId="3" fillId="0" borderId="37" xfId="0" applyNumberFormat="1" applyFont="1" applyFill="1" applyBorder="1" applyAlignment="1">
      <alignment vertical="center"/>
    </xf>
    <xf numFmtId="176" fontId="3" fillId="0" borderId="37" xfId="0" applyNumberFormat="1" applyFont="1" applyFill="1" applyBorder="1" applyAlignment="1">
      <alignment vertical="center"/>
    </xf>
    <xf numFmtId="178" fontId="3" fillId="0" borderId="37" xfId="0" applyNumberFormat="1" applyFont="1" applyFill="1" applyBorder="1" applyAlignment="1">
      <alignment horizontal="center" vertical="center"/>
    </xf>
    <xf numFmtId="176" fontId="3" fillId="0" borderId="37" xfId="0" applyNumberFormat="1" applyFont="1" applyFill="1" applyBorder="1" applyAlignment="1">
      <alignment horizontal="center" vertical="center"/>
    </xf>
    <xf numFmtId="178" fontId="3" fillId="0" borderId="38" xfId="0" applyNumberFormat="1" applyFont="1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178" fontId="1" fillId="0" borderId="12" xfId="0" applyNumberFormat="1" applyFont="1" applyFill="1" applyBorder="1" applyAlignment="1">
      <alignment horizontal="center" vertical="center"/>
    </xf>
    <xf numFmtId="178" fontId="1" fillId="0" borderId="14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534035</xdr:colOff>
      <xdr:row>0</xdr:row>
      <xdr:rowOff>155575</xdr:rowOff>
    </xdr:from>
    <xdr:to>
      <xdr:col>3</xdr:col>
      <xdr:colOff>1345565</xdr:colOff>
      <xdr:row>3</xdr:row>
      <xdr:rowOff>72390</xdr:rowOff>
    </xdr:to>
    <xdr:pic>
      <xdr:nvPicPr>
        <xdr:cNvPr id="2" name="图片 1" descr="maysky 图标带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035" y="155575"/>
          <a:ext cx="6669405" cy="2583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F62"/>
  <sheetViews>
    <sheetView tabSelected="1" view="pageBreakPreview" zoomScale="30" zoomScaleNormal="100" topLeftCell="A39" workbookViewId="0">
      <selection activeCell="V14" sqref="V14"/>
    </sheetView>
  </sheetViews>
  <sheetFormatPr defaultColWidth="23" defaultRowHeight="31.5"/>
  <cols>
    <col min="1" max="5" width="25.625" style="7" customWidth="1"/>
    <col min="6" max="7" width="25.625" style="14" customWidth="1"/>
    <col min="8" max="8" width="25.625" style="15" customWidth="1"/>
    <col min="9" max="9" width="40.625" style="7" customWidth="1"/>
    <col min="10" max="10" width="25.625" style="7" customWidth="1"/>
    <col min="11" max="11" width="25.625" style="16" customWidth="1"/>
    <col min="12" max="12" width="25.625" style="17" customWidth="1"/>
    <col min="13" max="13" width="25.625" style="18" customWidth="1"/>
    <col min="14" max="14" width="35.625" style="18" customWidth="1"/>
    <col min="15" max="16" width="25.625" style="19" customWidth="1"/>
    <col min="17" max="17" width="30" style="20" customWidth="1"/>
    <col min="18" max="18" width="35.625" style="21" customWidth="1"/>
    <col min="19" max="16345" width="23" style="7" customWidth="1"/>
    <col min="16346" max="16384" width="23" style="7"/>
  </cols>
  <sheetData>
    <row r="1" s="1" customFormat="1" ht="70" customHeight="1" spans="1:20">
      <c r="A1" s="22" t="s">
        <v>0</v>
      </c>
      <c r="B1" s="23"/>
      <c r="C1" s="23"/>
      <c r="D1" s="23"/>
      <c r="E1" s="23"/>
      <c r="F1" s="23"/>
      <c r="G1" s="23"/>
      <c r="H1" s="24"/>
      <c r="I1" s="23"/>
      <c r="J1" s="23"/>
      <c r="K1" s="23"/>
      <c r="L1" s="23"/>
      <c r="M1" s="23"/>
      <c r="N1" s="23"/>
      <c r="O1" s="24"/>
      <c r="P1" s="24"/>
      <c r="Q1" s="23"/>
      <c r="R1" s="25"/>
    </row>
    <row r="2" s="1" customFormat="1" ht="70" customHeight="1" spans="1:20">
      <c r="A2" s="26" t="s">
        <v>1</v>
      </c>
      <c r="B2" s="27"/>
      <c r="C2" s="27"/>
      <c r="D2" s="27"/>
      <c r="E2" s="27"/>
      <c r="F2" s="27"/>
      <c r="G2" s="27"/>
      <c r="H2" s="28"/>
      <c r="I2" s="27"/>
      <c r="J2" s="27"/>
      <c r="K2" s="27"/>
      <c r="L2" s="27"/>
      <c r="M2" s="27"/>
      <c r="N2" s="27"/>
      <c r="O2" s="28"/>
      <c r="P2" s="28"/>
      <c r="Q2" s="27"/>
      <c r="R2" s="29"/>
    </row>
    <row r="3" s="1" customFormat="1" ht="70" customHeight="1" spans="1:20">
      <c r="A3" s="26" t="s">
        <v>2</v>
      </c>
      <c r="B3" s="27"/>
      <c r="C3" s="27"/>
      <c r="D3" s="27"/>
      <c r="E3" s="27"/>
      <c r="F3" s="27"/>
      <c r="G3" s="27"/>
      <c r="H3" s="28"/>
      <c r="I3" s="27"/>
      <c r="J3" s="27"/>
      <c r="K3" s="27"/>
      <c r="L3" s="27"/>
      <c r="M3" s="27"/>
      <c r="N3" s="27"/>
      <c r="O3" s="28"/>
      <c r="P3" s="28"/>
      <c r="Q3" s="27"/>
      <c r="R3" s="29"/>
    </row>
    <row r="4" s="2" customFormat="1" ht="70" customHeight="1" spans="1:20">
      <c r="A4" s="30" t="s">
        <v>3</v>
      </c>
      <c r="B4" s="31"/>
      <c r="C4" s="31"/>
      <c r="D4" s="31"/>
      <c r="E4" s="31"/>
      <c r="F4" s="31"/>
      <c r="G4" s="31"/>
      <c r="H4" s="32"/>
      <c r="I4" s="31"/>
      <c r="J4" s="31"/>
      <c r="K4" s="31"/>
      <c r="L4" s="31"/>
      <c r="M4" s="31"/>
      <c r="N4" s="31"/>
      <c r="O4" s="32"/>
      <c r="P4" s="32"/>
      <c r="Q4" s="31"/>
      <c r="R4" s="33"/>
    </row>
    <row r="5" s="3" customFormat="1" ht="60" customHeight="1" spans="1:20">
      <c r="A5" s="34" t="s">
        <v>4</v>
      </c>
      <c r="B5" s="35" t="s">
        <v>5</v>
      </c>
      <c r="C5" s="36"/>
      <c r="D5" s="36"/>
      <c r="E5" s="36"/>
      <c r="F5" s="36"/>
      <c r="G5" s="36"/>
      <c r="H5" s="37"/>
      <c r="I5" s="36"/>
      <c r="J5" s="36"/>
      <c r="K5" s="36"/>
      <c r="L5" s="38"/>
      <c r="M5" s="39" t="s">
        <v>6</v>
      </c>
      <c r="N5" s="39"/>
      <c r="O5" s="40" t="s">
        <v>7</v>
      </c>
      <c r="P5" s="40"/>
      <c r="Q5" s="40"/>
      <c r="R5" s="40"/>
      <c r="S5" s="41"/>
      <c r="T5" s="42"/>
    </row>
    <row r="6" s="3" customFormat="1" ht="60" customHeight="1" spans="1:20">
      <c r="A6" s="34" t="s">
        <v>8</v>
      </c>
      <c r="B6" s="35" t="s">
        <v>9</v>
      </c>
      <c r="C6" s="36"/>
      <c r="D6" s="36"/>
      <c r="E6" s="36"/>
      <c r="F6" s="36"/>
      <c r="G6" s="36"/>
      <c r="H6" s="37"/>
      <c r="I6" s="36"/>
      <c r="J6" s="36"/>
      <c r="K6" s="36"/>
      <c r="L6" s="38"/>
      <c r="M6" s="39"/>
      <c r="N6" s="39"/>
      <c r="O6" s="40"/>
      <c r="P6" s="40"/>
      <c r="Q6" s="40"/>
      <c r="R6" s="40"/>
      <c r="S6" s="41"/>
      <c r="T6" s="42"/>
    </row>
    <row r="7" s="3" customFormat="1" ht="60" customHeight="1" spans="1:20">
      <c r="A7" s="34" t="s">
        <v>10</v>
      </c>
      <c r="B7" s="35" t="s">
        <v>11</v>
      </c>
      <c r="C7" s="36"/>
      <c r="D7" s="36"/>
      <c r="E7" s="36"/>
      <c r="F7" s="36"/>
      <c r="G7" s="36"/>
      <c r="H7" s="37"/>
      <c r="I7" s="36"/>
      <c r="J7" s="36"/>
      <c r="K7" s="36"/>
      <c r="L7" s="38"/>
      <c r="M7" s="39"/>
      <c r="N7" s="39"/>
      <c r="O7" s="40"/>
      <c r="P7" s="40"/>
      <c r="Q7" s="40"/>
      <c r="R7" s="40"/>
      <c r="S7" s="41"/>
      <c r="T7" s="42"/>
    </row>
    <row r="8" s="3" customFormat="1" ht="73" customHeight="1" spans="1:20">
      <c r="A8" s="34" t="s">
        <v>12</v>
      </c>
      <c r="B8" s="35" t="s">
        <v>13</v>
      </c>
      <c r="C8" s="36"/>
      <c r="D8" s="36"/>
      <c r="E8" s="36"/>
      <c r="F8" s="36"/>
      <c r="G8" s="36"/>
      <c r="H8" s="37"/>
      <c r="I8" s="36"/>
      <c r="J8" s="36"/>
      <c r="K8" s="36"/>
      <c r="L8" s="38"/>
      <c r="M8" s="39" t="s">
        <v>14</v>
      </c>
      <c r="N8" s="39"/>
      <c r="O8" s="43">
        <v>46176</v>
      </c>
      <c r="P8" s="43"/>
      <c r="Q8" s="43"/>
      <c r="R8" s="43"/>
      <c r="S8" s="41"/>
      <c r="T8" s="42"/>
    </row>
    <row r="9" s="4" customFormat="1" ht="60" customHeight="1" spans="1:20">
      <c r="A9" s="44" t="s">
        <v>15</v>
      </c>
      <c r="B9" s="35" t="s">
        <v>16</v>
      </c>
      <c r="C9" s="36"/>
      <c r="D9" s="36"/>
      <c r="E9" s="36"/>
      <c r="F9" s="36"/>
      <c r="G9" s="36"/>
      <c r="H9" s="37"/>
      <c r="I9" s="36"/>
      <c r="J9" s="36"/>
      <c r="K9" s="36"/>
      <c r="L9" s="38"/>
      <c r="M9" s="39"/>
      <c r="N9" s="39"/>
      <c r="O9" s="43"/>
      <c r="P9" s="43"/>
      <c r="Q9" s="43"/>
      <c r="R9" s="43"/>
      <c r="S9" s="45"/>
      <c r="T9" s="46"/>
    </row>
    <row r="10" s="5" customFormat="1" ht="70" customHeight="1" spans="1:20">
      <c r="A10" s="47" t="s">
        <v>17</v>
      </c>
      <c r="B10" s="48" t="s">
        <v>18</v>
      </c>
      <c r="C10" s="48" t="s">
        <v>19</v>
      </c>
      <c r="D10" s="48" t="s">
        <v>20</v>
      </c>
      <c r="E10" s="49" t="s">
        <v>21</v>
      </c>
      <c r="F10" s="50" t="s">
        <v>22</v>
      </c>
      <c r="G10" s="50"/>
      <c r="H10" s="51" t="s">
        <v>23</v>
      </c>
      <c r="I10" s="50" t="s">
        <v>24</v>
      </c>
      <c r="J10" s="50" t="s">
        <v>25</v>
      </c>
      <c r="K10" s="52" t="s">
        <v>26</v>
      </c>
      <c r="L10" s="51"/>
      <c r="M10" s="53" t="s">
        <v>27</v>
      </c>
      <c r="N10" s="54" t="s">
        <v>28</v>
      </c>
      <c r="O10" s="55" t="s">
        <v>29</v>
      </c>
      <c r="P10" s="55" t="s">
        <v>30</v>
      </c>
      <c r="Q10" s="56" t="s">
        <v>31</v>
      </c>
      <c r="R10" s="57" t="s">
        <v>32</v>
      </c>
    </row>
    <row r="11" s="5" customFormat="1" ht="70" customHeight="1" spans="1:20">
      <c r="A11" s="58"/>
      <c r="B11" s="59"/>
      <c r="C11" s="59"/>
      <c r="D11" s="59"/>
      <c r="E11" s="50"/>
      <c r="F11" s="60" t="s">
        <v>33</v>
      </c>
      <c r="G11" s="60"/>
      <c r="H11" s="61" t="s">
        <v>33</v>
      </c>
      <c r="I11" s="60"/>
      <c r="J11" s="60" t="s">
        <v>34</v>
      </c>
      <c r="K11" s="62" t="s">
        <v>35</v>
      </c>
      <c r="L11" s="61" t="s">
        <v>36</v>
      </c>
      <c r="M11" s="63" t="s">
        <v>37</v>
      </c>
      <c r="N11" s="64" t="s">
        <v>38</v>
      </c>
      <c r="O11" s="51"/>
      <c r="P11" s="51"/>
      <c r="Q11" s="53"/>
      <c r="R11" s="65"/>
    </row>
    <row r="12" s="6" customFormat="1" ht="60" customHeight="1" spans="1:20">
      <c r="A12" s="66" t="s">
        <v>39</v>
      </c>
      <c r="B12" s="67"/>
      <c r="C12" s="68"/>
      <c r="D12" s="68"/>
      <c r="E12" s="68"/>
      <c r="F12" s="68"/>
      <c r="G12" s="68"/>
      <c r="H12" s="69"/>
      <c r="I12" s="68"/>
      <c r="J12" s="68"/>
      <c r="K12" s="68"/>
      <c r="L12" s="68"/>
      <c r="M12" s="68"/>
      <c r="N12" s="68"/>
      <c r="O12" s="69"/>
      <c r="P12" s="69"/>
      <c r="Q12" s="68"/>
      <c r="R12" s="70"/>
    </row>
    <row r="13" s="7" customFormat="1" ht="400" customHeight="1" spans="1:20">
      <c r="A13" s="71">
        <v>1</v>
      </c>
      <c r="B13" s="72" t="s">
        <v>40</v>
      </c>
      <c r="C13" s="73" t="s">
        <v>41</v>
      </c>
      <c r="D13" s="74">
        <v>304</v>
      </c>
      <c r="E13" s="75" t="s">
        <v>42</v>
      </c>
      <c r="F13" s="76">
        <v>20</v>
      </c>
      <c r="G13" s="76">
        <v>40</v>
      </c>
      <c r="H13" s="77">
        <v>1.2</v>
      </c>
      <c r="I13" s="78" t="s">
        <v>43</v>
      </c>
      <c r="J13" s="76">
        <v>6</v>
      </c>
      <c r="K13" s="79">
        <f>L13/J13</f>
        <v>35</v>
      </c>
      <c r="L13" s="80">
        <v>210</v>
      </c>
      <c r="M13" s="81">
        <v>2.35</v>
      </c>
      <c r="N13" s="82">
        <f>M13*L13</f>
        <v>493.5</v>
      </c>
      <c r="O13" s="83">
        <v>1.096</v>
      </c>
      <c r="P13" s="84">
        <f>O13*L13</f>
        <v>230.16</v>
      </c>
      <c r="Q13" s="85">
        <v>73066100</v>
      </c>
      <c r="R13" s="86"/>
    </row>
    <row r="14" s="7" customFormat="1" ht="400" customHeight="1" spans="1:20">
      <c r="A14" s="87">
        <v>2</v>
      </c>
      <c r="B14" s="88" t="s">
        <v>44</v>
      </c>
      <c r="C14" s="73" t="s">
        <v>41</v>
      </c>
      <c r="D14" s="74">
        <v>304</v>
      </c>
      <c r="E14" s="89" t="s">
        <v>45</v>
      </c>
      <c r="F14" s="76">
        <v>20</v>
      </c>
      <c r="G14" s="76">
        <v>50</v>
      </c>
      <c r="H14" s="90">
        <v>1.2</v>
      </c>
      <c r="I14" s="88" t="s">
        <v>43</v>
      </c>
      <c r="J14" s="88">
        <v>6</v>
      </c>
      <c r="K14" s="79">
        <f t="shared" ref="K14:K42" si="0">L14/J14</f>
        <v>35</v>
      </c>
      <c r="L14" s="91">
        <v>210</v>
      </c>
      <c r="M14" s="92">
        <v>2.75</v>
      </c>
      <c r="N14" s="93">
        <f t="shared" ref="N14:N40" si="1">M14*L14</f>
        <v>577.5</v>
      </c>
      <c r="O14" s="94">
        <v>1.2866</v>
      </c>
      <c r="P14" s="84">
        <f t="shared" ref="P14:P40" si="2">O14*L14</f>
        <v>270.186</v>
      </c>
      <c r="Q14" s="95">
        <v>73066100</v>
      </c>
      <c r="R14" s="96"/>
    </row>
    <row r="15" s="7" customFormat="1" ht="400" customHeight="1" spans="1:20">
      <c r="A15" s="87">
        <v>3</v>
      </c>
      <c r="B15" s="88" t="s">
        <v>46</v>
      </c>
      <c r="C15" s="73" t="s">
        <v>41</v>
      </c>
      <c r="D15" s="74">
        <v>304</v>
      </c>
      <c r="E15" s="89" t="s">
        <v>47</v>
      </c>
      <c r="F15" s="76">
        <v>30</v>
      </c>
      <c r="G15" s="76">
        <v>50</v>
      </c>
      <c r="H15" s="90">
        <v>1.2</v>
      </c>
      <c r="I15" s="88" t="s">
        <v>43</v>
      </c>
      <c r="J15" s="88">
        <v>6</v>
      </c>
      <c r="K15" s="79">
        <f t="shared" si="0"/>
        <v>35</v>
      </c>
      <c r="L15" s="91">
        <v>210</v>
      </c>
      <c r="M15" s="92">
        <v>3.14</v>
      </c>
      <c r="N15" s="93">
        <f t="shared" si="1"/>
        <v>659.4</v>
      </c>
      <c r="O15" s="94">
        <v>1.4769</v>
      </c>
      <c r="P15" s="84">
        <f t="shared" si="2"/>
        <v>310.149</v>
      </c>
      <c r="Q15" s="95">
        <v>73066100</v>
      </c>
      <c r="R15" s="96"/>
    </row>
    <row r="16" s="7" customFormat="1" ht="400" customHeight="1" spans="1:20">
      <c r="A16" s="87">
        <v>4</v>
      </c>
      <c r="B16" s="88" t="s">
        <v>48</v>
      </c>
      <c r="C16" s="73" t="s">
        <v>41</v>
      </c>
      <c r="D16" s="74">
        <v>304</v>
      </c>
      <c r="E16" s="89" t="s">
        <v>49</v>
      </c>
      <c r="F16" s="76">
        <v>10</v>
      </c>
      <c r="G16" s="76">
        <v>20</v>
      </c>
      <c r="H16" s="90">
        <v>1.5</v>
      </c>
      <c r="I16" s="88" t="s">
        <v>50</v>
      </c>
      <c r="J16" s="88">
        <v>6</v>
      </c>
      <c r="K16" s="79">
        <f t="shared" si="0"/>
        <v>104</v>
      </c>
      <c r="L16" s="91">
        <v>624</v>
      </c>
      <c r="M16" s="92">
        <v>1.4</v>
      </c>
      <c r="N16" s="93">
        <f t="shared" si="1"/>
        <v>873.6</v>
      </c>
      <c r="O16" s="94">
        <v>0.64233</v>
      </c>
      <c r="P16" s="84">
        <f t="shared" si="2"/>
        <v>400.81392</v>
      </c>
      <c r="Q16" s="95">
        <v>73066100</v>
      </c>
      <c r="R16" s="96"/>
    </row>
    <row r="17" s="7" customFormat="1" ht="400" customHeight="1" spans="1:18">
      <c r="A17" s="87">
        <v>5</v>
      </c>
      <c r="B17" s="88" t="s">
        <v>51</v>
      </c>
      <c r="C17" s="73" t="s">
        <v>41</v>
      </c>
      <c r="D17" s="74">
        <v>304</v>
      </c>
      <c r="E17" s="89" t="s">
        <v>52</v>
      </c>
      <c r="F17" s="76">
        <v>10</v>
      </c>
      <c r="G17" s="76">
        <v>30</v>
      </c>
      <c r="H17" s="90">
        <v>1.5</v>
      </c>
      <c r="I17" s="88" t="s">
        <v>50</v>
      </c>
      <c r="J17" s="88">
        <v>6</v>
      </c>
      <c r="K17" s="79">
        <f t="shared" si="0"/>
        <v>66</v>
      </c>
      <c r="L17" s="91">
        <v>396</v>
      </c>
      <c r="M17" s="92">
        <v>1.9</v>
      </c>
      <c r="N17" s="93">
        <f t="shared" si="1"/>
        <v>752.4</v>
      </c>
      <c r="O17" s="94">
        <v>0.88023</v>
      </c>
      <c r="P17" s="84">
        <f t="shared" si="2"/>
        <v>348.57108</v>
      </c>
      <c r="Q17" s="95">
        <v>73066100</v>
      </c>
      <c r="R17" s="96"/>
    </row>
    <row r="18" s="7" customFormat="1" ht="400" customHeight="1" spans="1:18">
      <c r="A18" s="87">
        <v>6</v>
      </c>
      <c r="B18" s="88" t="s">
        <v>53</v>
      </c>
      <c r="C18" s="73" t="s">
        <v>41</v>
      </c>
      <c r="D18" s="74">
        <v>304</v>
      </c>
      <c r="E18" s="89" t="s">
        <v>54</v>
      </c>
      <c r="F18" s="76">
        <v>20</v>
      </c>
      <c r="G18" s="76">
        <v>40</v>
      </c>
      <c r="H18" s="90">
        <v>1.5</v>
      </c>
      <c r="I18" s="88" t="s">
        <v>50</v>
      </c>
      <c r="J18" s="88">
        <v>6</v>
      </c>
      <c r="K18" s="79">
        <f t="shared" si="0"/>
        <v>84</v>
      </c>
      <c r="L18" s="91">
        <v>504</v>
      </c>
      <c r="M18" s="92">
        <v>2.91</v>
      </c>
      <c r="N18" s="93">
        <f t="shared" si="1"/>
        <v>1466.64</v>
      </c>
      <c r="O18" s="94">
        <v>1.35603</v>
      </c>
      <c r="P18" s="84">
        <f t="shared" si="2"/>
        <v>683.43912</v>
      </c>
      <c r="Q18" s="95">
        <v>73066100</v>
      </c>
      <c r="R18" s="96"/>
    </row>
    <row r="19" s="7" customFormat="1" ht="400" customHeight="1" spans="1:18">
      <c r="A19" s="87">
        <v>7</v>
      </c>
      <c r="B19" s="88" t="s">
        <v>55</v>
      </c>
      <c r="C19" s="73" t="s">
        <v>41</v>
      </c>
      <c r="D19" s="74">
        <v>304</v>
      </c>
      <c r="E19" s="89" t="s">
        <v>56</v>
      </c>
      <c r="F19" s="76">
        <v>20</v>
      </c>
      <c r="G19" s="76">
        <v>50</v>
      </c>
      <c r="H19" s="90">
        <v>1.5</v>
      </c>
      <c r="I19" s="88" t="s">
        <v>50</v>
      </c>
      <c r="J19" s="88">
        <v>6</v>
      </c>
      <c r="K19" s="79">
        <f t="shared" si="0"/>
        <v>50</v>
      </c>
      <c r="L19" s="91">
        <v>300</v>
      </c>
      <c r="M19" s="92">
        <v>3.41</v>
      </c>
      <c r="N19" s="93">
        <f t="shared" si="1"/>
        <v>1023</v>
      </c>
      <c r="O19" s="94">
        <v>1.59393</v>
      </c>
      <c r="P19" s="84">
        <f t="shared" si="2"/>
        <v>478.179</v>
      </c>
      <c r="Q19" s="95">
        <v>73066100</v>
      </c>
      <c r="R19" s="96"/>
    </row>
    <row r="20" s="7" customFormat="1" ht="400" customHeight="1" spans="1:18">
      <c r="A20" s="87">
        <v>8</v>
      </c>
      <c r="B20" s="88" t="s">
        <v>57</v>
      </c>
      <c r="C20" s="73" t="s">
        <v>41</v>
      </c>
      <c r="D20" s="74">
        <v>304</v>
      </c>
      <c r="E20" s="89" t="s">
        <v>58</v>
      </c>
      <c r="F20" s="76">
        <v>30</v>
      </c>
      <c r="G20" s="76">
        <v>50</v>
      </c>
      <c r="H20" s="90">
        <v>1.5</v>
      </c>
      <c r="I20" s="88" t="s">
        <v>50</v>
      </c>
      <c r="J20" s="88">
        <v>6</v>
      </c>
      <c r="K20" s="79">
        <f t="shared" si="0"/>
        <v>66</v>
      </c>
      <c r="L20" s="91">
        <v>396</v>
      </c>
      <c r="M20" s="92">
        <v>3.91</v>
      </c>
      <c r="N20" s="93">
        <f t="shared" si="1"/>
        <v>1548.36</v>
      </c>
      <c r="O20" s="94">
        <v>1.83183</v>
      </c>
      <c r="P20" s="84">
        <f t="shared" si="2"/>
        <v>725.40468</v>
      </c>
      <c r="Q20" s="95">
        <v>73066100</v>
      </c>
      <c r="R20" s="96"/>
    </row>
    <row r="21" s="7" customFormat="1" ht="400" customHeight="1" spans="1:18">
      <c r="A21" s="87">
        <v>9</v>
      </c>
      <c r="B21" s="88" t="s">
        <v>59</v>
      </c>
      <c r="C21" s="73" t="s">
        <v>41</v>
      </c>
      <c r="D21" s="74">
        <v>304</v>
      </c>
      <c r="E21" s="89" t="s">
        <v>60</v>
      </c>
      <c r="F21" s="76">
        <v>40</v>
      </c>
      <c r="G21" s="76">
        <v>60</v>
      </c>
      <c r="H21" s="90">
        <v>1.5</v>
      </c>
      <c r="I21" s="88" t="s">
        <v>50</v>
      </c>
      <c r="J21" s="88">
        <v>6</v>
      </c>
      <c r="K21" s="79">
        <f t="shared" si="0"/>
        <v>35</v>
      </c>
      <c r="L21" s="91">
        <v>210</v>
      </c>
      <c r="M21" s="92">
        <v>4.92</v>
      </c>
      <c r="N21" s="93">
        <f t="shared" si="1"/>
        <v>1033.2</v>
      </c>
      <c r="O21" s="94">
        <v>2.30763</v>
      </c>
      <c r="P21" s="84">
        <f t="shared" si="2"/>
        <v>484.6023</v>
      </c>
      <c r="Q21" s="95">
        <v>73066100</v>
      </c>
      <c r="R21" s="96"/>
    </row>
    <row r="22" s="7" customFormat="1" ht="400" customHeight="1" spans="1:18">
      <c r="A22" s="87">
        <v>10</v>
      </c>
      <c r="B22" s="88" t="s">
        <v>61</v>
      </c>
      <c r="C22" s="73" t="s">
        <v>41</v>
      </c>
      <c r="D22" s="74">
        <v>304</v>
      </c>
      <c r="E22" s="89" t="s">
        <v>62</v>
      </c>
      <c r="F22" s="76">
        <v>50</v>
      </c>
      <c r="G22" s="76">
        <v>100</v>
      </c>
      <c r="H22" s="90">
        <v>1.5</v>
      </c>
      <c r="I22" s="88" t="s">
        <v>50</v>
      </c>
      <c r="J22" s="88">
        <v>6</v>
      </c>
      <c r="K22" s="79">
        <f t="shared" si="0"/>
        <v>20</v>
      </c>
      <c r="L22" s="91">
        <v>120</v>
      </c>
      <c r="M22" s="92">
        <v>7.43</v>
      </c>
      <c r="N22" s="93">
        <f t="shared" si="1"/>
        <v>891.6</v>
      </c>
      <c r="O22" s="94">
        <v>3.49713</v>
      </c>
      <c r="P22" s="84">
        <f t="shared" si="2"/>
        <v>419.6556</v>
      </c>
      <c r="Q22" s="95">
        <v>73066100</v>
      </c>
      <c r="R22" s="96"/>
    </row>
    <row r="23" s="7" customFormat="1" ht="400" customHeight="1" spans="1:18">
      <c r="A23" s="87">
        <v>11</v>
      </c>
      <c r="B23" s="88" t="s">
        <v>63</v>
      </c>
      <c r="C23" s="73" t="s">
        <v>41</v>
      </c>
      <c r="D23" s="74">
        <v>304</v>
      </c>
      <c r="E23" s="89" t="s">
        <v>64</v>
      </c>
      <c r="F23" s="76">
        <v>40</v>
      </c>
      <c r="G23" s="76">
        <v>60</v>
      </c>
      <c r="H23" s="90">
        <v>2</v>
      </c>
      <c r="I23" s="88" t="s">
        <v>65</v>
      </c>
      <c r="J23" s="88">
        <v>6</v>
      </c>
      <c r="K23" s="79">
        <f t="shared" si="0"/>
        <v>50</v>
      </c>
      <c r="L23" s="91">
        <v>300</v>
      </c>
      <c r="M23" s="92">
        <v>6.51</v>
      </c>
      <c r="N23" s="93">
        <f t="shared" si="1"/>
        <v>1953</v>
      </c>
      <c r="O23" s="94">
        <v>3.0451</v>
      </c>
      <c r="P23" s="84">
        <f t="shared" si="2"/>
        <v>913.53</v>
      </c>
      <c r="Q23" s="95">
        <v>73066100</v>
      </c>
      <c r="R23" s="96"/>
    </row>
    <row r="24" s="7" customFormat="1" ht="400" customHeight="1" spans="1:18">
      <c r="A24" s="87">
        <v>12</v>
      </c>
      <c r="B24" s="88" t="s">
        <v>66</v>
      </c>
      <c r="C24" s="73" t="s">
        <v>41</v>
      </c>
      <c r="D24" s="74">
        <v>304</v>
      </c>
      <c r="E24" s="89" t="s">
        <v>67</v>
      </c>
      <c r="F24" s="76">
        <v>50</v>
      </c>
      <c r="G24" s="76">
        <v>100</v>
      </c>
      <c r="H24" s="90">
        <v>2</v>
      </c>
      <c r="I24" s="88" t="s">
        <v>65</v>
      </c>
      <c r="J24" s="88">
        <v>6</v>
      </c>
      <c r="K24" s="79">
        <f t="shared" si="0"/>
        <v>35</v>
      </c>
      <c r="L24" s="91">
        <v>210</v>
      </c>
      <c r="M24" s="92">
        <v>9.86</v>
      </c>
      <c r="N24" s="93">
        <f t="shared" si="1"/>
        <v>2070.6</v>
      </c>
      <c r="O24" s="94">
        <v>4.6311</v>
      </c>
      <c r="P24" s="84">
        <f t="shared" si="2"/>
        <v>972.531</v>
      </c>
      <c r="Q24" s="95">
        <v>73066100</v>
      </c>
      <c r="R24" s="96"/>
    </row>
    <row r="25" s="7" customFormat="1" ht="400" customHeight="1" spans="1:18">
      <c r="A25" s="87">
        <v>13</v>
      </c>
      <c r="B25" s="88" t="s">
        <v>68</v>
      </c>
      <c r="C25" s="73" t="s">
        <v>41</v>
      </c>
      <c r="D25" s="74">
        <v>304</v>
      </c>
      <c r="E25" s="89" t="s">
        <v>69</v>
      </c>
      <c r="F25" s="76">
        <v>30</v>
      </c>
      <c r="G25" s="76">
        <v>60</v>
      </c>
      <c r="H25" s="90">
        <v>1.5</v>
      </c>
      <c r="I25" s="88" t="s">
        <v>65</v>
      </c>
      <c r="J25" s="88">
        <v>6</v>
      </c>
      <c r="K25" s="79">
        <f t="shared" si="0"/>
        <v>35</v>
      </c>
      <c r="L25" s="91">
        <v>210</v>
      </c>
      <c r="M25" s="92">
        <v>4.41</v>
      </c>
      <c r="N25" s="93">
        <f t="shared" si="1"/>
        <v>926.1</v>
      </c>
      <c r="O25" s="94">
        <v>2.06</v>
      </c>
      <c r="P25" s="84">
        <f t="shared" si="2"/>
        <v>432.6</v>
      </c>
      <c r="Q25" s="95">
        <v>73066100</v>
      </c>
      <c r="R25" s="96"/>
    </row>
    <row r="26" s="7" customFormat="1" ht="400" customHeight="1" spans="1:18">
      <c r="A26" s="87">
        <v>14</v>
      </c>
      <c r="B26" s="88" t="s">
        <v>46</v>
      </c>
      <c r="C26" s="73" t="s">
        <v>41</v>
      </c>
      <c r="D26" s="74">
        <v>304</v>
      </c>
      <c r="E26" s="89" t="s">
        <v>47</v>
      </c>
      <c r="F26" s="76">
        <v>30</v>
      </c>
      <c r="G26" s="76">
        <v>50</v>
      </c>
      <c r="H26" s="90">
        <v>1.2</v>
      </c>
      <c r="I26" s="88" t="s">
        <v>65</v>
      </c>
      <c r="J26" s="88">
        <v>6</v>
      </c>
      <c r="K26" s="79">
        <f t="shared" si="0"/>
        <v>35</v>
      </c>
      <c r="L26" s="91">
        <v>210</v>
      </c>
      <c r="M26" s="92">
        <v>3.14</v>
      </c>
      <c r="N26" s="93">
        <f t="shared" si="1"/>
        <v>659.4</v>
      </c>
      <c r="O26" s="94">
        <v>1.477</v>
      </c>
      <c r="P26" s="84">
        <f t="shared" si="2"/>
        <v>310.17</v>
      </c>
      <c r="Q26" s="95">
        <v>73066100</v>
      </c>
      <c r="R26" s="96"/>
    </row>
    <row r="27" s="7" customFormat="1" ht="400" customHeight="1" spans="1:18">
      <c r="A27" s="87">
        <v>15</v>
      </c>
      <c r="B27" s="88" t="s">
        <v>70</v>
      </c>
      <c r="C27" s="73" t="s">
        <v>41</v>
      </c>
      <c r="D27" s="74">
        <v>304</v>
      </c>
      <c r="E27" s="89" t="s">
        <v>71</v>
      </c>
      <c r="F27" s="76">
        <v>20</v>
      </c>
      <c r="G27" s="76">
        <v>20</v>
      </c>
      <c r="H27" s="90">
        <v>1.5</v>
      </c>
      <c r="I27" s="88" t="s">
        <v>72</v>
      </c>
      <c r="J27" s="88">
        <v>6</v>
      </c>
      <c r="K27" s="79">
        <f t="shared" si="0"/>
        <v>262</v>
      </c>
      <c r="L27" s="91">
        <v>1572</v>
      </c>
      <c r="M27" s="92">
        <v>1.9</v>
      </c>
      <c r="N27" s="93">
        <f t="shared" si="1"/>
        <v>2986.8</v>
      </c>
      <c r="O27" s="94">
        <v>0.87135</v>
      </c>
      <c r="P27" s="84">
        <f t="shared" si="2"/>
        <v>1369.7622</v>
      </c>
      <c r="Q27" s="95">
        <v>73066100</v>
      </c>
      <c r="R27" s="96"/>
    </row>
    <row r="28" s="7" customFormat="1" ht="400" customHeight="1" spans="1:18">
      <c r="A28" s="87">
        <v>16</v>
      </c>
      <c r="B28" s="88" t="s">
        <v>73</v>
      </c>
      <c r="C28" s="73" t="s">
        <v>41</v>
      </c>
      <c r="D28" s="74">
        <v>304</v>
      </c>
      <c r="E28" s="89" t="s">
        <v>74</v>
      </c>
      <c r="F28" s="76">
        <v>30</v>
      </c>
      <c r="G28" s="76">
        <v>30</v>
      </c>
      <c r="H28" s="90">
        <v>1.5</v>
      </c>
      <c r="I28" s="88" t="s">
        <v>72</v>
      </c>
      <c r="J28" s="88">
        <v>6</v>
      </c>
      <c r="K28" s="79">
        <f t="shared" si="0"/>
        <v>262</v>
      </c>
      <c r="L28" s="91">
        <v>1572</v>
      </c>
      <c r="M28" s="92">
        <v>2.91</v>
      </c>
      <c r="N28" s="93">
        <f t="shared" si="1"/>
        <v>4574.52</v>
      </c>
      <c r="O28" s="94">
        <v>1.34235</v>
      </c>
      <c r="P28" s="84">
        <f t="shared" si="2"/>
        <v>2110.1742</v>
      </c>
      <c r="Q28" s="95">
        <v>73066100</v>
      </c>
      <c r="R28" s="96"/>
    </row>
    <row r="29" s="7" customFormat="1" ht="400" customHeight="1" spans="1:18">
      <c r="A29" s="97">
        <v>17</v>
      </c>
      <c r="B29" s="88" t="s">
        <v>75</v>
      </c>
      <c r="C29" s="73" t="s">
        <v>41</v>
      </c>
      <c r="D29" s="74">
        <v>304</v>
      </c>
      <c r="E29" s="89" t="s">
        <v>76</v>
      </c>
      <c r="F29" s="76">
        <v>40</v>
      </c>
      <c r="G29" s="76">
        <v>40</v>
      </c>
      <c r="H29" s="98">
        <v>1.5</v>
      </c>
      <c r="I29" s="88" t="s">
        <v>72</v>
      </c>
      <c r="J29" s="99">
        <v>6</v>
      </c>
      <c r="K29" s="79">
        <f t="shared" si="0"/>
        <v>534</v>
      </c>
      <c r="L29" s="91">
        <v>3204</v>
      </c>
      <c r="M29" s="100">
        <v>3.91</v>
      </c>
      <c r="N29" s="93">
        <f t="shared" si="1"/>
        <v>12527.64</v>
      </c>
      <c r="O29" s="94">
        <v>1.81335</v>
      </c>
      <c r="P29" s="84">
        <f t="shared" si="2"/>
        <v>5809.9734</v>
      </c>
      <c r="Q29" s="95">
        <v>73066100</v>
      </c>
      <c r="R29" s="101"/>
    </row>
    <row r="30" s="7" customFormat="1" ht="400" customHeight="1" spans="1:18">
      <c r="A30" s="102">
        <v>18</v>
      </c>
      <c r="B30" s="88" t="s">
        <v>77</v>
      </c>
      <c r="C30" s="73" t="s">
        <v>41</v>
      </c>
      <c r="D30" s="74">
        <v>304</v>
      </c>
      <c r="E30" s="89" t="s">
        <v>78</v>
      </c>
      <c r="F30" s="76">
        <v>50</v>
      </c>
      <c r="G30" s="76">
        <v>50</v>
      </c>
      <c r="H30" s="103">
        <v>1.5</v>
      </c>
      <c r="I30" s="88" t="s">
        <v>72</v>
      </c>
      <c r="J30" s="104">
        <v>6</v>
      </c>
      <c r="K30" s="79">
        <f t="shared" si="0"/>
        <v>262</v>
      </c>
      <c r="L30" s="91">
        <v>1572</v>
      </c>
      <c r="M30" s="105">
        <v>4.92</v>
      </c>
      <c r="N30" s="93">
        <f t="shared" si="1"/>
        <v>7734.24</v>
      </c>
      <c r="O30" s="94">
        <v>2.28435</v>
      </c>
      <c r="P30" s="84">
        <f t="shared" si="2"/>
        <v>3590.9982</v>
      </c>
      <c r="Q30" s="95">
        <v>73066100</v>
      </c>
      <c r="R30" s="106"/>
    </row>
    <row r="31" s="7" customFormat="1" ht="400" customHeight="1" spans="1:18">
      <c r="A31" s="87">
        <v>19</v>
      </c>
      <c r="B31" s="88" t="s">
        <v>79</v>
      </c>
      <c r="C31" s="73" t="s">
        <v>41</v>
      </c>
      <c r="D31" s="74">
        <v>304</v>
      </c>
      <c r="E31" s="89" t="s">
        <v>80</v>
      </c>
      <c r="F31" s="76">
        <v>40</v>
      </c>
      <c r="G31" s="76">
        <v>40</v>
      </c>
      <c r="H31" s="90">
        <v>2</v>
      </c>
      <c r="I31" s="88" t="s">
        <v>81</v>
      </c>
      <c r="J31" s="88">
        <v>6</v>
      </c>
      <c r="K31" s="79">
        <f t="shared" si="0"/>
        <v>50</v>
      </c>
      <c r="L31" s="91">
        <v>300</v>
      </c>
      <c r="M31" s="92">
        <v>5.17</v>
      </c>
      <c r="N31" s="93">
        <f t="shared" si="1"/>
        <v>1551</v>
      </c>
      <c r="O31" s="94">
        <v>2.3864</v>
      </c>
      <c r="P31" s="84">
        <f t="shared" si="2"/>
        <v>715.92</v>
      </c>
      <c r="Q31" s="95">
        <v>73066100</v>
      </c>
      <c r="R31" s="107"/>
    </row>
    <row r="32" s="7" customFormat="1" ht="400" customHeight="1" spans="1:18">
      <c r="A32" s="87">
        <v>20</v>
      </c>
      <c r="B32" s="88" t="s">
        <v>82</v>
      </c>
      <c r="C32" s="73" t="s">
        <v>41</v>
      </c>
      <c r="D32" s="74">
        <v>304</v>
      </c>
      <c r="E32" s="89" t="s">
        <v>83</v>
      </c>
      <c r="F32" s="76">
        <v>20</v>
      </c>
      <c r="G32" s="76">
        <v>20</v>
      </c>
      <c r="H32" s="90">
        <v>1.2</v>
      </c>
      <c r="I32" s="88" t="s">
        <v>84</v>
      </c>
      <c r="J32" s="88">
        <v>6</v>
      </c>
      <c r="K32" s="79">
        <f t="shared" si="0"/>
        <v>50</v>
      </c>
      <c r="L32" s="91">
        <v>300</v>
      </c>
      <c r="M32" s="92">
        <v>1.54</v>
      </c>
      <c r="N32" s="93">
        <f t="shared" si="1"/>
        <v>462</v>
      </c>
      <c r="O32" s="94">
        <v>0.7084</v>
      </c>
      <c r="P32" s="84">
        <f t="shared" si="2"/>
        <v>212.52</v>
      </c>
      <c r="Q32" s="95">
        <v>73066100</v>
      </c>
      <c r="R32" s="107"/>
    </row>
    <row r="33" s="7" customFormat="1" ht="400" customHeight="1" spans="1:214">
      <c r="A33" s="87">
        <v>21</v>
      </c>
      <c r="B33" s="88" t="s">
        <v>85</v>
      </c>
      <c r="C33" s="73" t="s">
        <v>41</v>
      </c>
      <c r="D33" s="74">
        <v>304</v>
      </c>
      <c r="E33" s="89" t="s">
        <v>86</v>
      </c>
      <c r="F33" s="76">
        <v>30</v>
      </c>
      <c r="G33" s="76">
        <v>30</v>
      </c>
      <c r="H33" s="90">
        <v>1.2</v>
      </c>
      <c r="I33" s="88" t="s">
        <v>84</v>
      </c>
      <c r="J33" s="88">
        <v>6</v>
      </c>
      <c r="K33" s="79">
        <f t="shared" si="0"/>
        <v>50</v>
      </c>
      <c r="L33" s="91">
        <v>300</v>
      </c>
      <c r="M33" s="92">
        <v>2.35</v>
      </c>
      <c r="N33" s="93">
        <f t="shared" si="1"/>
        <v>705</v>
      </c>
      <c r="O33" s="94">
        <v>1.0852</v>
      </c>
      <c r="P33" s="84">
        <f t="shared" si="2"/>
        <v>325.56</v>
      </c>
      <c r="Q33" s="95">
        <v>73066100</v>
      </c>
      <c r="R33" s="107"/>
    </row>
    <row r="34" s="7" customFormat="1" ht="400" customHeight="1" spans="1:214">
      <c r="A34" s="87">
        <v>22</v>
      </c>
      <c r="B34" s="88" t="s">
        <v>87</v>
      </c>
      <c r="C34" s="73" t="s">
        <v>41</v>
      </c>
      <c r="D34" s="74">
        <v>304</v>
      </c>
      <c r="E34" s="89" t="s">
        <v>88</v>
      </c>
      <c r="F34" s="76">
        <v>40</v>
      </c>
      <c r="G34" s="76">
        <v>40</v>
      </c>
      <c r="H34" s="90">
        <v>1.2</v>
      </c>
      <c r="I34" s="88" t="s">
        <v>84</v>
      </c>
      <c r="J34" s="88">
        <v>6</v>
      </c>
      <c r="K34" s="79">
        <f t="shared" si="0"/>
        <v>50</v>
      </c>
      <c r="L34" s="91">
        <v>300</v>
      </c>
      <c r="M34" s="92">
        <v>3.14</v>
      </c>
      <c r="N34" s="93">
        <f t="shared" si="1"/>
        <v>942</v>
      </c>
      <c r="O34" s="94">
        <v>1.462</v>
      </c>
      <c r="P34" s="84">
        <f t="shared" si="2"/>
        <v>438.6</v>
      </c>
      <c r="Q34" s="95">
        <v>73066100</v>
      </c>
      <c r="R34" s="107"/>
    </row>
    <row r="35" s="7" customFormat="1" ht="400" customHeight="1" spans="1:214">
      <c r="A35" s="87">
        <v>23</v>
      </c>
      <c r="B35" s="88" t="s">
        <v>89</v>
      </c>
      <c r="C35" s="73" t="s">
        <v>41</v>
      </c>
      <c r="D35" s="74">
        <v>304</v>
      </c>
      <c r="E35" s="89" t="s">
        <v>90</v>
      </c>
      <c r="F35" s="76">
        <v>50</v>
      </c>
      <c r="G35" s="76">
        <v>50</v>
      </c>
      <c r="H35" s="90">
        <v>1.2</v>
      </c>
      <c r="I35" s="88" t="s">
        <v>84</v>
      </c>
      <c r="J35" s="88">
        <v>6</v>
      </c>
      <c r="K35" s="79">
        <f t="shared" si="0"/>
        <v>35</v>
      </c>
      <c r="L35" s="91">
        <v>210</v>
      </c>
      <c r="M35" s="92">
        <v>3.95</v>
      </c>
      <c r="N35" s="93">
        <f t="shared" si="1"/>
        <v>829.5</v>
      </c>
      <c r="O35" s="94">
        <v>1.8388</v>
      </c>
      <c r="P35" s="84">
        <f t="shared" si="2"/>
        <v>386.148</v>
      </c>
      <c r="Q35" s="95">
        <v>73066100</v>
      </c>
      <c r="R35" s="107"/>
    </row>
    <row r="36" s="7" customFormat="1" ht="400" customHeight="1" spans="1:214">
      <c r="A36" s="87">
        <v>24</v>
      </c>
      <c r="B36" s="88" t="s">
        <v>91</v>
      </c>
      <c r="C36" s="73" t="s">
        <v>41</v>
      </c>
      <c r="D36" s="74">
        <v>304</v>
      </c>
      <c r="E36" s="89" t="s">
        <v>92</v>
      </c>
      <c r="F36" s="76">
        <v>100</v>
      </c>
      <c r="G36" s="76">
        <v>100</v>
      </c>
      <c r="H36" s="90">
        <v>2</v>
      </c>
      <c r="I36" s="88" t="s">
        <v>84</v>
      </c>
      <c r="J36" s="88">
        <v>6</v>
      </c>
      <c r="K36" s="79">
        <f t="shared" si="0"/>
        <v>35</v>
      </c>
      <c r="L36" s="91">
        <v>210</v>
      </c>
      <c r="M36" s="92">
        <v>13.21</v>
      </c>
      <c r="N36" s="93">
        <f t="shared" si="1"/>
        <v>2774.1</v>
      </c>
      <c r="O36" s="94">
        <v>6.154</v>
      </c>
      <c r="P36" s="84">
        <f t="shared" si="2"/>
        <v>1292.34</v>
      </c>
      <c r="Q36" s="95">
        <v>73066100</v>
      </c>
      <c r="R36" s="107"/>
    </row>
    <row r="37" s="7" customFormat="1" ht="400" customHeight="1" spans="1:214">
      <c r="A37" s="87">
        <v>25</v>
      </c>
      <c r="B37" s="88" t="s">
        <v>93</v>
      </c>
      <c r="C37" s="73" t="s">
        <v>41</v>
      </c>
      <c r="D37" s="74">
        <v>304</v>
      </c>
      <c r="E37" s="89" t="s">
        <v>94</v>
      </c>
      <c r="F37" s="76">
        <v>60</v>
      </c>
      <c r="G37" s="76">
        <v>60</v>
      </c>
      <c r="H37" s="90">
        <v>1.5</v>
      </c>
      <c r="I37" s="88" t="s">
        <v>95</v>
      </c>
      <c r="J37" s="88">
        <v>6</v>
      </c>
      <c r="K37" s="79">
        <f t="shared" si="0"/>
        <v>60</v>
      </c>
      <c r="L37" s="91">
        <v>360</v>
      </c>
      <c r="M37" s="92">
        <v>5.93</v>
      </c>
      <c r="N37" s="93">
        <f t="shared" si="1"/>
        <v>2134.8</v>
      </c>
      <c r="O37" s="94">
        <v>2.7554</v>
      </c>
      <c r="P37" s="84">
        <f t="shared" si="2"/>
        <v>991.944</v>
      </c>
      <c r="Q37" s="95">
        <v>73066100</v>
      </c>
      <c r="R37" s="107"/>
    </row>
    <row r="38" s="7" customFormat="1" ht="400" customHeight="1" spans="1:214">
      <c r="A38" s="87">
        <v>26</v>
      </c>
      <c r="B38" s="88" t="s">
        <v>96</v>
      </c>
      <c r="C38" s="73" t="s">
        <v>41</v>
      </c>
      <c r="D38" s="74">
        <v>304</v>
      </c>
      <c r="E38" s="89" t="s">
        <v>97</v>
      </c>
      <c r="F38" s="76">
        <v>50</v>
      </c>
      <c r="G38" s="76">
        <v>50</v>
      </c>
      <c r="H38" s="90">
        <v>2</v>
      </c>
      <c r="I38" s="88" t="s">
        <v>98</v>
      </c>
      <c r="J38" s="88">
        <v>6</v>
      </c>
      <c r="K38" s="79">
        <f t="shared" si="0"/>
        <v>50</v>
      </c>
      <c r="L38" s="91">
        <v>300</v>
      </c>
      <c r="M38" s="92">
        <v>6.51</v>
      </c>
      <c r="N38" s="93">
        <f t="shared" si="1"/>
        <v>1953</v>
      </c>
      <c r="O38" s="94">
        <v>3.0144</v>
      </c>
      <c r="P38" s="84">
        <f t="shared" si="2"/>
        <v>904.32</v>
      </c>
      <c r="Q38" s="95">
        <v>73066100</v>
      </c>
      <c r="R38" s="107"/>
    </row>
    <row r="39" s="7" customFormat="1" ht="400" customHeight="1" spans="1:214">
      <c r="A39" s="87">
        <v>27</v>
      </c>
      <c r="B39" s="88" t="s">
        <v>99</v>
      </c>
      <c r="C39" s="73" t="s">
        <v>41</v>
      </c>
      <c r="D39" s="74">
        <v>304</v>
      </c>
      <c r="E39" s="89" t="s">
        <v>100</v>
      </c>
      <c r="F39" s="76">
        <v>60</v>
      </c>
      <c r="G39" s="76">
        <v>60</v>
      </c>
      <c r="H39" s="90">
        <v>2</v>
      </c>
      <c r="I39" s="88" t="s">
        <v>101</v>
      </c>
      <c r="J39" s="88">
        <v>6</v>
      </c>
      <c r="K39" s="79">
        <f t="shared" si="0"/>
        <v>60</v>
      </c>
      <c r="L39" s="91">
        <v>360</v>
      </c>
      <c r="M39" s="92">
        <v>7.85</v>
      </c>
      <c r="N39" s="93">
        <f t="shared" si="1"/>
        <v>2826</v>
      </c>
      <c r="O39" s="94">
        <v>3.6424</v>
      </c>
      <c r="P39" s="84">
        <f t="shared" si="2"/>
        <v>1311.264</v>
      </c>
      <c r="Q39" s="95">
        <v>73066100</v>
      </c>
      <c r="R39" s="107"/>
    </row>
    <row r="40" s="7" customFormat="1" ht="400" customHeight="1" spans="1:214">
      <c r="A40" s="87">
        <v>28</v>
      </c>
      <c r="B40" s="88" t="s">
        <v>102</v>
      </c>
      <c r="C40" s="73" t="s">
        <v>41</v>
      </c>
      <c r="D40" s="74">
        <v>304</v>
      </c>
      <c r="E40" s="89" t="s">
        <v>103</v>
      </c>
      <c r="F40" s="76">
        <v>80</v>
      </c>
      <c r="G40" s="76">
        <v>80</v>
      </c>
      <c r="H40" s="90">
        <v>2</v>
      </c>
      <c r="I40" s="88" t="s">
        <v>104</v>
      </c>
      <c r="J40" s="88">
        <v>6</v>
      </c>
      <c r="K40" s="79">
        <f t="shared" si="0"/>
        <v>50</v>
      </c>
      <c r="L40" s="91">
        <v>300</v>
      </c>
      <c r="M40" s="92">
        <v>10.52</v>
      </c>
      <c r="N40" s="93">
        <f t="shared" si="1"/>
        <v>3156</v>
      </c>
      <c r="O40" s="94">
        <v>4.8984</v>
      </c>
      <c r="P40" s="84">
        <f t="shared" si="2"/>
        <v>1469.52</v>
      </c>
      <c r="Q40" s="95">
        <v>73066100</v>
      </c>
      <c r="R40" s="107"/>
    </row>
    <row r="41" s="8" customFormat="1" ht="85" customHeight="1" spans="1:214">
      <c r="A41" s="108" t="s">
        <v>105</v>
      </c>
      <c r="B41" s="109"/>
      <c r="C41" s="109"/>
      <c r="D41" s="109"/>
      <c r="E41" s="109"/>
      <c r="F41" s="109"/>
      <c r="G41" s="109"/>
      <c r="H41" s="110"/>
      <c r="I41" s="109"/>
      <c r="J41" s="109"/>
      <c r="K41" s="79"/>
      <c r="L41" s="111">
        <f>SUM(L13:L40)</f>
        <v>14970</v>
      </c>
      <c r="M41" s="112"/>
      <c r="N41" s="112">
        <f>SUM(N13:N40)</f>
        <v>60084.9</v>
      </c>
      <c r="O41" s="113"/>
      <c r="P41" s="113">
        <f>SUM(P13:P40)</f>
        <v>27909.0357</v>
      </c>
      <c r="Q41" s="112"/>
      <c r="R41" s="114"/>
    </row>
    <row r="42" s="8" customFormat="1" ht="85" customHeight="1" spans="1:214">
      <c r="A42" s="108"/>
      <c r="B42" s="109"/>
      <c r="C42" s="109"/>
      <c r="D42" s="109"/>
      <c r="E42" s="109"/>
      <c r="F42" s="109"/>
      <c r="G42" s="109"/>
      <c r="H42" s="110"/>
      <c r="I42" s="109"/>
      <c r="J42" s="109"/>
      <c r="K42" s="79"/>
      <c r="L42" s="115"/>
      <c r="M42" s="116" t="s">
        <v>106</v>
      </c>
      <c r="N42" s="117">
        <f>N41*0.2</f>
        <v>12016.98</v>
      </c>
      <c r="O42" s="118"/>
      <c r="P42" s="118"/>
      <c r="Q42" s="119"/>
      <c r="R42" s="120"/>
    </row>
    <row r="43" s="9" customFormat="1" ht="50" customHeight="1" spans="1:214">
      <c r="A43" s="121"/>
      <c r="B43" s="122"/>
      <c r="C43" s="122"/>
      <c r="D43" s="122"/>
      <c r="E43" s="122"/>
      <c r="F43" s="123"/>
      <c r="G43" s="123"/>
      <c r="H43" s="124"/>
      <c r="I43" s="122"/>
      <c r="J43" s="122"/>
      <c r="K43" s="125"/>
      <c r="L43" s="126"/>
      <c r="M43" s="127"/>
      <c r="N43" s="127"/>
      <c r="O43" s="128"/>
      <c r="P43" s="128"/>
      <c r="Q43" s="127"/>
      <c r="R43" s="129"/>
    </row>
    <row r="44" s="10" customFormat="1" ht="50" customHeight="1" spans="1:214">
      <c r="A44" s="130" t="s">
        <v>107</v>
      </c>
      <c r="B44" s="131"/>
      <c r="C44" s="131"/>
      <c r="D44" s="131"/>
      <c r="E44" s="131"/>
      <c r="F44" s="132"/>
      <c r="G44" s="132"/>
      <c r="H44" s="133"/>
      <c r="I44" s="131"/>
      <c r="J44" s="131"/>
      <c r="K44" s="131"/>
      <c r="L44" s="131"/>
      <c r="M44" s="131"/>
      <c r="N44" s="131"/>
      <c r="O44" s="131"/>
      <c r="P44" s="133"/>
      <c r="Q44" s="131"/>
      <c r="R44" s="131"/>
      <c r="S44" s="134"/>
      <c r="T44" s="135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</row>
    <row r="45" s="9" customFormat="1" ht="50" customHeight="1" spans="1:214">
      <c r="A45" s="137" t="s">
        <v>108</v>
      </c>
      <c r="B45" s="138"/>
      <c r="C45" s="138"/>
      <c r="D45" s="138"/>
      <c r="E45" s="138"/>
      <c r="F45" s="139" t="s">
        <v>109</v>
      </c>
      <c r="G45" s="139"/>
      <c r="H45" s="140"/>
      <c r="I45" s="139"/>
      <c r="J45" s="139"/>
      <c r="K45" s="139"/>
      <c r="L45" s="139"/>
      <c r="M45" s="139"/>
      <c r="N45" s="139"/>
      <c r="O45" s="139"/>
      <c r="P45" s="140"/>
      <c r="Q45" s="139"/>
      <c r="R45" s="139"/>
      <c r="S45" s="141"/>
      <c r="T45" s="142"/>
    </row>
    <row r="46" s="9" customFormat="1" ht="50" customHeight="1" spans="1:214">
      <c r="A46" s="137" t="s">
        <v>110</v>
      </c>
      <c r="B46" s="138"/>
      <c r="C46" s="138"/>
      <c r="D46" s="138"/>
      <c r="E46" s="138"/>
      <c r="F46" s="139" t="s">
        <v>111</v>
      </c>
      <c r="G46" s="139"/>
      <c r="H46" s="140"/>
      <c r="I46" s="139"/>
      <c r="J46" s="139"/>
      <c r="K46" s="139"/>
      <c r="L46" s="139"/>
      <c r="M46" s="139"/>
      <c r="N46" s="139"/>
      <c r="O46" s="139"/>
      <c r="P46" s="140"/>
      <c r="Q46" s="139"/>
      <c r="R46" s="139"/>
      <c r="S46" s="141"/>
      <c r="T46" s="142"/>
    </row>
    <row r="47" s="9" customFormat="1" ht="50" customHeight="1" spans="1:214">
      <c r="A47" s="137" t="s">
        <v>112</v>
      </c>
      <c r="B47" s="138"/>
      <c r="C47" s="138"/>
      <c r="D47" s="138"/>
      <c r="E47" s="138"/>
      <c r="F47" s="139" t="s">
        <v>113</v>
      </c>
      <c r="G47" s="139"/>
      <c r="H47" s="140"/>
      <c r="I47" s="139"/>
      <c r="J47" s="139"/>
      <c r="K47" s="139"/>
      <c r="L47" s="139"/>
      <c r="M47" s="139"/>
      <c r="N47" s="139"/>
      <c r="O47" s="139"/>
      <c r="P47" s="140"/>
      <c r="Q47" s="139"/>
      <c r="R47" s="139"/>
      <c r="S47" s="141"/>
      <c r="T47" s="142"/>
    </row>
    <row r="48" s="9" customFormat="1" ht="50" customHeight="1" spans="1:214">
      <c r="A48" s="137" t="s">
        <v>114</v>
      </c>
      <c r="B48" s="138"/>
      <c r="C48" s="138"/>
      <c r="D48" s="138"/>
      <c r="E48" s="138"/>
      <c r="F48" s="139" t="s">
        <v>115</v>
      </c>
      <c r="G48" s="139"/>
      <c r="H48" s="140"/>
      <c r="I48" s="139"/>
      <c r="J48" s="139"/>
      <c r="K48" s="139"/>
      <c r="L48" s="139"/>
      <c r="M48" s="139"/>
      <c r="N48" s="139"/>
      <c r="O48" s="139"/>
      <c r="P48" s="140"/>
      <c r="Q48" s="139"/>
      <c r="R48" s="139"/>
      <c r="S48" s="141"/>
      <c r="T48" s="142"/>
    </row>
    <row r="49" s="9" customFormat="1" ht="50" customHeight="1" spans="1:144">
      <c r="A49" s="137" t="s">
        <v>116</v>
      </c>
      <c r="B49" s="138"/>
      <c r="C49" s="138"/>
      <c r="D49" s="138"/>
      <c r="E49" s="138"/>
      <c r="F49" s="139" t="s">
        <v>117</v>
      </c>
      <c r="G49" s="139"/>
      <c r="H49" s="140"/>
      <c r="I49" s="139"/>
      <c r="J49" s="139"/>
      <c r="K49" s="139"/>
      <c r="L49" s="139"/>
      <c r="M49" s="139"/>
      <c r="N49" s="139"/>
      <c r="O49" s="139"/>
      <c r="P49" s="140"/>
      <c r="Q49" s="139"/>
      <c r="R49" s="139"/>
      <c r="S49" s="141"/>
      <c r="T49" s="142"/>
    </row>
    <row r="50" s="9" customFormat="1" ht="265" customHeight="1" spans="1:144">
      <c r="A50" s="137" t="s">
        <v>118</v>
      </c>
      <c r="B50" s="138"/>
      <c r="C50" s="138"/>
      <c r="D50" s="138"/>
      <c r="E50" s="138"/>
      <c r="F50" s="139" t="s">
        <v>119</v>
      </c>
      <c r="G50" s="139"/>
      <c r="H50" s="140"/>
      <c r="I50" s="139"/>
      <c r="J50" s="139"/>
      <c r="K50" s="139"/>
      <c r="L50" s="139"/>
      <c r="M50" s="139"/>
      <c r="N50" s="139"/>
      <c r="O50" s="139"/>
      <c r="P50" s="140"/>
      <c r="Q50" s="139"/>
      <c r="R50" s="139"/>
      <c r="S50" s="141"/>
      <c r="T50" s="142"/>
    </row>
    <row r="51" s="3" customFormat="1" ht="50" customHeight="1" spans="1:144">
      <c r="A51" s="143"/>
      <c r="B51" s="144"/>
      <c r="C51" s="144"/>
      <c r="D51" s="145"/>
      <c r="E51" s="146"/>
      <c r="F51" s="147"/>
      <c r="G51" s="147"/>
      <c r="H51" s="148"/>
      <c r="I51" s="149"/>
      <c r="J51" s="149"/>
      <c r="K51" s="150"/>
      <c r="L51" s="151"/>
      <c r="M51" s="149"/>
      <c r="N51" s="152"/>
      <c r="O51" s="153"/>
      <c r="P51" s="153"/>
      <c r="Q51" s="154"/>
      <c r="R51" s="155"/>
    </row>
    <row r="52" s="11" customFormat="1" ht="55" customHeight="1" spans="1:144">
      <c r="A52" s="156" t="s">
        <v>120</v>
      </c>
      <c r="B52" s="157"/>
      <c r="C52" s="157"/>
      <c r="D52" s="157"/>
      <c r="E52" s="157"/>
      <c r="F52" s="158"/>
      <c r="G52" s="158"/>
      <c r="H52" s="159"/>
      <c r="I52" s="158"/>
      <c r="J52" s="160"/>
      <c r="K52" s="157"/>
      <c r="L52" s="161"/>
      <c r="M52" s="157"/>
      <c r="N52" s="162"/>
      <c r="O52" s="163"/>
      <c r="P52" s="163"/>
      <c r="Q52" s="164"/>
      <c r="R52" s="165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  <c r="BM52" s="166"/>
      <c r="BN52" s="166"/>
      <c r="BO52" s="166"/>
      <c r="BP52" s="166"/>
      <c r="BQ52" s="166"/>
      <c r="BR52" s="166"/>
      <c r="BS52" s="166"/>
      <c r="BT52" s="166"/>
      <c r="BU52" s="166"/>
      <c r="BV52" s="166"/>
      <c r="BW52" s="166"/>
      <c r="BX52" s="166"/>
      <c r="BY52" s="166"/>
      <c r="BZ52" s="166"/>
      <c r="CA52" s="166"/>
      <c r="CB52" s="166"/>
      <c r="CC52" s="166"/>
      <c r="CD52" s="166"/>
      <c r="CE52" s="166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166"/>
      <c r="CR52" s="166"/>
      <c r="CS52" s="166"/>
      <c r="CT52" s="166"/>
      <c r="CU52" s="166"/>
      <c r="CV52" s="166"/>
      <c r="CW52" s="166"/>
      <c r="CX52" s="166"/>
      <c r="CY52" s="166"/>
      <c r="CZ52" s="166"/>
      <c r="DA52" s="166"/>
      <c r="DB52" s="166"/>
      <c r="DC52" s="166"/>
      <c r="DD52" s="166"/>
      <c r="DE52" s="166"/>
      <c r="DF52" s="166"/>
      <c r="DG52" s="166"/>
      <c r="DH52" s="166"/>
      <c r="DI52" s="166"/>
      <c r="DJ52" s="166"/>
      <c r="DK52" s="166"/>
      <c r="DL52" s="166"/>
      <c r="DM52" s="166"/>
      <c r="DN52" s="166"/>
      <c r="DO52" s="166"/>
      <c r="DP52" s="166"/>
      <c r="DQ52" s="166"/>
      <c r="DR52" s="166"/>
      <c r="DS52" s="166"/>
      <c r="DT52" s="166"/>
      <c r="DU52" s="166"/>
      <c r="DV52" s="166"/>
      <c r="DW52" s="166"/>
      <c r="DX52" s="166"/>
      <c r="DY52" s="166"/>
      <c r="DZ52" s="166"/>
      <c r="EA52" s="166"/>
      <c r="EB52" s="166"/>
      <c r="EC52" s="166"/>
      <c r="ED52" s="166"/>
      <c r="EE52" s="166"/>
      <c r="EF52" s="166"/>
      <c r="EG52" s="166"/>
      <c r="EH52" s="166"/>
      <c r="EI52" s="166"/>
      <c r="EJ52" s="166"/>
      <c r="EK52" s="166"/>
      <c r="EL52" s="166"/>
      <c r="EM52" s="166"/>
      <c r="EN52" s="166"/>
    </row>
    <row r="53" s="11" customFormat="1" ht="55" customHeight="1" spans="1:144">
      <c r="A53" s="167" t="s">
        <v>121</v>
      </c>
      <c r="B53" s="168"/>
      <c r="C53" s="168"/>
      <c r="D53" s="168"/>
      <c r="E53" s="168"/>
      <c r="F53" s="158"/>
      <c r="G53" s="158"/>
      <c r="H53" s="159"/>
      <c r="I53" s="158"/>
      <c r="J53" s="169"/>
      <c r="K53" s="169"/>
      <c r="L53" s="170"/>
      <c r="M53" s="168"/>
      <c r="N53" s="162"/>
      <c r="O53" s="163"/>
      <c r="P53" s="163"/>
      <c r="Q53" s="164"/>
      <c r="R53" s="165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66"/>
      <c r="BQ53" s="166"/>
      <c r="BR53" s="166"/>
      <c r="BS53" s="166"/>
      <c r="BT53" s="166"/>
      <c r="BU53" s="166"/>
      <c r="BV53" s="166"/>
      <c r="BW53" s="166"/>
      <c r="BX53" s="166"/>
      <c r="BY53" s="166"/>
      <c r="BZ53" s="166"/>
      <c r="CA53" s="166"/>
      <c r="CB53" s="166"/>
      <c r="CC53" s="166"/>
      <c r="CD53" s="166"/>
      <c r="CE53" s="166"/>
      <c r="CF53" s="166"/>
      <c r="CG53" s="166"/>
      <c r="CH53" s="166"/>
      <c r="CI53" s="166"/>
      <c r="CJ53" s="166"/>
      <c r="CK53" s="166"/>
      <c r="CL53" s="166"/>
      <c r="CM53" s="166"/>
      <c r="CN53" s="166"/>
      <c r="CO53" s="166"/>
      <c r="CP53" s="166"/>
      <c r="CQ53" s="166"/>
      <c r="CR53" s="166"/>
      <c r="CS53" s="166"/>
      <c r="CT53" s="166"/>
      <c r="CU53" s="166"/>
      <c r="CV53" s="166"/>
      <c r="CW53" s="166"/>
      <c r="CX53" s="166"/>
      <c r="CY53" s="166"/>
      <c r="CZ53" s="166"/>
      <c r="DA53" s="166"/>
      <c r="DB53" s="166"/>
      <c r="DC53" s="166"/>
      <c r="DD53" s="166"/>
      <c r="DE53" s="166"/>
      <c r="DF53" s="166"/>
      <c r="DG53" s="166"/>
      <c r="DH53" s="166"/>
      <c r="DI53" s="166"/>
      <c r="DJ53" s="166"/>
      <c r="DK53" s="166"/>
      <c r="DL53" s="166"/>
      <c r="DM53" s="166"/>
      <c r="DN53" s="166"/>
      <c r="DO53" s="166"/>
      <c r="DP53" s="166"/>
      <c r="DQ53" s="166"/>
      <c r="DR53" s="166"/>
      <c r="DS53" s="166"/>
      <c r="DT53" s="166"/>
      <c r="DU53" s="166"/>
      <c r="DV53" s="166"/>
      <c r="DW53" s="166"/>
      <c r="DX53" s="166"/>
      <c r="DY53" s="166"/>
      <c r="DZ53" s="166"/>
      <c r="EA53" s="166"/>
      <c r="EB53" s="166"/>
      <c r="EC53" s="166"/>
      <c r="ED53" s="166"/>
      <c r="EE53" s="166"/>
      <c r="EF53" s="166"/>
      <c r="EG53" s="166"/>
      <c r="EH53" s="166"/>
      <c r="EI53" s="166"/>
      <c r="EJ53" s="166"/>
      <c r="EK53" s="166"/>
      <c r="EL53" s="166"/>
      <c r="EM53" s="166"/>
      <c r="EN53" s="166"/>
    </row>
    <row r="54" s="11" customFormat="1" ht="55" customHeight="1" spans="1:144">
      <c r="A54" s="167" t="s">
        <v>122</v>
      </c>
      <c r="B54" s="168"/>
      <c r="C54" s="168"/>
      <c r="D54" s="168"/>
      <c r="E54" s="168"/>
      <c r="F54" s="158"/>
      <c r="G54" s="158"/>
      <c r="H54" s="159"/>
      <c r="I54" s="158"/>
      <c r="J54" s="158"/>
      <c r="K54" s="169"/>
      <c r="L54" s="169"/>
      <c r="M54" s="170"/>
      <c r="N54" s="168"/>
      <c r="O54" s="171"/>
      <c r="P54" s="171"/>
      <c r="Q54" s="172"/>
      <c r="R54" s="173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66"/>
      <c r="BI54" s="166"/>
      <c r="BJ54" s="166"/>
      <c r="BK54" s="166"/>
      <c r="BL54" s="166"/>
      <c r="BM54" s="166"/>
      <c r="BN54" s="166"/>
      <c r="BO54" s="166"/>
      <c r="BP54" s="166"/>
      <c r="BQ54" s="166"/>
      <c r="BR54" s="166"/>
      <c r="BS54" s="166"/>
      <c r="BT54" s="166"/>
      <c r="BU54" s="166"/>
      <c r="BV54" s="166"/>
      <c r="BW54" s="166"/>
      <c r="BX54" s="166"/>
      <c r="BY54" s="166"/>
      <c r="BZ54" s="166"/>
      <c r="CA54" s="166"/>
      <c r="CB54" s="166"/>
      <c r="CC54" s="166"/>
      <c r="CD54" s="166"/>
      <c r="CE54" s="166"/>
      <c r="CF54" s="166"/>
      <c r="CG54" s="166"/>
      <c r="CH54" s="166"/>
      <c r="CI54" s="166"/>
      <c r="CJ54" s="166"/>
      <c r="CK54" s="166"/>
      <c r="CL54" s="166"/>
      <c r="CM54" s="166"/>
      <c r="CN54" s="166"/>
      <c r="CO54" s="166"/>
      <c r="CP54" s="166"/>
      <c r="CQ54" s="166"/>
      <c r="CR54" s="166"/>
      <c r="CS54" s="166"/>
      <c r="CT54" s="166"/>
      <c r="CU54" s="166"/>
      <c r="CV54" s="166"/>
      <c r="CW54" s="166"/>
      <c r="CX54" s="166"/>
      <c r="CY54" s="166"/>
      <c r="CZ54" s="166"/>
      <c r="DA54" s="166"/>
      <c r="DB54" s="166"/>
      <c r="DC54" s="166"/>
      <c r="DD54" s="166"/>
      <c r="DE54" s="166"/>
      <c r="DF54" s="166"/>
      <c r="DG54" s="166"/>
      <c r="DH54" s="166"/>
      <c r="DI54" s="166"/>
      <c r="DJ54" s="166"/>
      <c r="DK54" s="166"/>
      <c r="DL54" s="166"/>
      <c r="DM54" s="166"/>
      <c r="DN54" s="166"/>
      <c r="DO54" s="166"/>
      <c r="DP54" s="166"/>
      <c r="DQ54" s="166"/>
      <c r="DR54" s="166"/>
      <c r="DS54" s="166"/>
      <c r="DT54" s="166"/>
      <c r="DU54" s="166"/>
      <c r="DV54" s="166"/>
      <c r="DW54" s="166"/>
      <c r="DX54" s="166"/>
      <c r="DY54" s="166"/>
      <c r="DZ54" s="166"/>
      <c r="EA54" s="166"/>
      <c r="EB54" s="166"/>
      <c r="EC54" s="166"/>
      <c r="ED54" s="166"/>
      <c r="EE54" s="166"/>
      <c r="EF54" s="166"/>
      <c r="EG54" s="166"/>
      <c r="EH54" s="166"/>
      <c r="EI54" s="166"/>
      <c r="EJ54" s="166"/>
      <c r="EK54" s="166"/>
      <c r="EL54" s="166"/>
      <c r="EM54" s="166"/>
      <c r="EN54" s="166"/>
    </row>
    <row r="55" s="11" customFormat="1" ht="55" customHeight="1" spans="1:144">
      <c r="A55" s="167" t="s">
        <v>123</v>
      </c>
      <c r="B55" s="168"/>
      <c r="C55" s="174"/>
      <c r="D55" s="174"/>
      <c r="E55" s="174"/>
      <c r="F55" s="175"/>
      <c r="G55" s="175"/>
      <c r="H55" s="176"/>
      <c r="I55" s="174"/>
      <c r="J55" s="174"/>
      <c r="K55" s="174"/>
      <c r="L55" s="174"/>
      <c r="M55" s="174"/>
      <c r="N55" s="174"/>
      <c r="O55" s="177"/>
      <c r="P55" s="177"/>
      <c r="Q55" s="178"/>
      <c r="R55" s="179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  <c r="BM55" s="166"/>
      <c r="BN55" s="166"/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  <c r="CF55" s="166"/>
      <c r="CG55" s="166"/>
      <c r="CH55" s="166"/>
      <c r="CI55" s="166"/>
      <c r="CJ55" s="166"/>
      <c r="CK55" s="166"/>
      <c r="CL55" s="166"/>
      <c r="CM55" s="166"/>
      <c r="CN55" s="166"/>
      <c r="CO55" s="166"/>
      <c r="CP55" s="166"/>
      <c r="CQ55" s="166"/>
      <c r="CR55" s="166"/>
      <c r="CS55" s="166"/>
      <c r="CT55" s="166"/>
      <c r="CU55" s="166"/>
      <c r="CV55" s="166"/>
      <c r="CW55" s="166"/>
      <c r="CX55" s="166"/>
      <c r="CY55" s="166"/>
      <c r="CZ55" s="166"/>
      <c r="DA55" s="166"/>
      <c r="DB55" s="166"/>
      <c r="DC55" s="166"/>
      <c r="DD55" s="166"/>
      <c r="DE55" s="166"/>
      <c r="DF55" s="166"/>
      <c r="DG55" s="166"/>
      <c r="DH55" s="166"/>
      <c r="DI55" s="166"/>
      <c r="DJ55" s="166"/>
      <c r="DK55" s="166"/>
      <c r="DL55" s="166"/>
      <c r="DM55" s="166"/>
      <c r="DN55" s="166"/>
      <c r="DO55" s="166"/>
      <c r="DP55" s="166"/>
      <c r="DQ55" s="166"/>
      <c r="DR55" s="166"/>
      <c r="DS55" s="166"/>
      <c r="DT55" s="166"/>
      <c r="DU55" s="166"/>
      <c r="DV55" s="166"/>
      <c r="DW55" s="166"/>
      <c r="DX55" s="166"/>
      <c r="DY55" s="166"/>
      <c r="DZ55" s="166"/>
      <c r="EA55" s="166"/>
      <c r="EB55" s="166"/>
      <c r="EC55" s="166"/>
      <c r="ED55" s="166"/>
      <c r="EE55" s="166"/>
      <c r="EF55" s="166"/>
      <c r="EG55" s="166"/>
      <c r="EH55" s="166"/>
      <c r="EI55" s="166"/>
      <c r="EJ55" s="166"/>
      <c r="EK55" s="166"/>
      <c r="EL55" s="166"/>
      <c r="EM55" s="166"/>
      <c r="EN55" s="166"/>
    </row>
    <row r="56" s="11" customFormat="1" ht="55" customHeight="1" spans="1:144">
      <c r="A56" s="167" t="s">
        <v>124</v>
      </c>
      <c r="B56" s="168"/>
      <c r="C56" s="168"/>
      <c r="D56" s="168"/>
      <c r="E56" s="168"/>
      <c r="F56" s="158"/>
      <c r="G56" s="158"/>
      <c r="H56" s="159"/>
      <c r="I56" s="168"/>
      <c r="J56" s="168"/>
      <c r="K56" s="168"/>
      <c r="L56" s="168"/>
      <c r="M56" s="168"/>
      <c r="N56" s="168"/>
      <c r="O56" s="171"/>
      <c r="P56" s="171"/>
      <c r="Q56" s="172"/>
      <c r="R56" s="173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  <c r="DL56" s="166"/>
      <c r="DM56" s="166"/>
      <c r="DN56" s="166"/>
      <c r="DO56" s="166"/>
      <c r="DP56" s="166"/>
      <c r="DQ56" s="166"/>
      <c r="DR56" s="166"/>
      <c r="DS56" s="166"/>
      <c r="DT56" s="166"/>
      <c r="DU56" s="166"/>
      <c r="DV56" s="166"/>
      <c r="DW56" s="166"/>
      <c r="DX56" s="166"/>
      <c r="DY56" s="166"/>
      <c r="DZ56" s="166"/>
      <c r="EA56" s="166"/>
      <c r="EB56" s="166"/>
      <c r="EC56" s="166"/>
      <c r="ED56" s="166"/>
      <c r="EE56" s="166"/>
      <c r="EF56" s="166"/>
      <c r="EG56" s="166"/>
      <c r="EH56" s="166"/>
      <c r="EI56" s="166"/>
      <c r="EJ56" s="166"/>
      <c r="EK56" s="166"/>
      <c r="EL56" s="166"/>
      <c r="EM56" s="166"/>
      <c r="EN56" s="166"/>
    </row>
    <row r="57" s="11" customFormat="1" ht="55" customHeight="1" spans="1:144">
      <c r="A57" s="167" t="s">
        <v>125</v>
      </c>
      <c r="B57" s="168"/>
      <c r="C57" s="168"/>
      <c r="D57" s="168"/>
      <c r="E57" s="168"/>
      <c r="F57" s="158"/>
      <c r="G57" s="158"/>
      <c r="H57" s="159"/>
      <c r="I57" s="168"/>
      <c r="J57" s="168"/>
      <c r="K57" s="168"/>
      <c r="L57" s="168"/>
      <c r="M57" s="168"/>
      <c r="N57" s="168"/>
      <c r="O57" s="171"/>
      <c r="P57" s="171"/>
      <c r="Q57" s="172"/>
      <c r="R57" s="173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  <c r="CJ57" s="166"/>
      <c r="CK57" s="166"/>
      <c r="CL57" s="166"/>
      <c r="CM57" s="166"/>
      <c r="CN57" s="166"/>
      <c r="CO57" s="166"/>
      <c r="CP57" s="166"/>
      <c r="CQ57" s="166"/>
      <c r="CR57" s="166"/>
      <c r="CS57" s="166"/>
      <c r="CT57" s="166"/>
      <c r="CU57" s="166"/>
      <c r="CV57" s="166"/>
      <c r="CW57" s="166"/>
      <c r="CX57" s="166"/>
      <c r="CY57" s="166"/>
      <c r="CZ57" s="166"/>
      <c r="DA57" s="166"/>
      <c r="DB57" s="166"/>
      <c r="DC57" s="166"/>
      <c r="DD57" s="166"/>
      <c r="DE57" s="166"/>
      <c r="DF57" s="166"/>
      <c r="DG57" s="166"/>
      <c r="DH57" s="166"/>
      <c r="DI57" s="166"/>
      <c r="DJ57" s="166"/>
      <c r="DK57" s="166"/>
      <c r="DL57" s="166"/>
      <c r="DM57" s="166"/>
      <c r="DN57" s="166"/>
      <c r="DO57" s="166"/>
      <c r="DP57" s="166"/>
      <c r="DQ57" s="166"/>
      <c r="DR57" s="166"/>
      <c r="DS57" s="166"/>
      <c r="DT57" s="166"/>
      <c r="DU57" s="166"/>
      <c r="DV57" s="166"/>
      <c r="DW57" s="166"/>
      <c r="DX57" s="166"/>
      <c r="DY57" s="166"/>
      <c r="DZ57" s="166"/>
      <c r="EA57" s="166"/>
      <c r="EB57" s="166"/>
      <c r="EC57" s="166"/>
      <c r="ED57" s="166"/>
      <c r="EE57" s="166"/>
      <c r="EF57" s="166"/>
      <c r="EG57" s="166"/>
      <c r="EH57" s="166"/>
      <c r="EI57" s="166"/>
      <c r="EJ57" s="166"/>
      <c r="EK57" s="166"/>
      <c r="EL57" s="166"/>
      <c r="EM57" s="166"/>
      <c r="EN57" s="166"/>
    </row>
    <row r="58" s="11" customFormat="1" ht="55" customHeight="1" spans="1:144">
      <c r="A58" s="167" t="s">
        <v>126</v>
      </c>
      <c r="B58" s="168"/>
      <c r="C58" s="168"/>
      <c r="D58" s="168"/>
      <c r="E58" s="168"/>
      <c r="F58" s="158"/>
      <c r="G58" s="158"/>
      <c r="H58" s="159"/>
      <c r="I58" s="168"/>
      <c r="J58" s="168"/>
      <c r="K58" s="168"/>
      <c r="L58" s="168"/>
      <c r="M58" s="168"/>
      <c r="N58" s="168"/>
      <c r="O58" s="171"/>
      <c r="P58" s="171"/>
      <c r="Q58" s="172"/>
      <c r="R58" s="173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  <c r="CJ58" s="166"/>
      <c r="CK58" s="166"/>
      <c r="CL58" s="166"/>
      <c r="CM58" s="166"/>
      <c r="CN58" s="166"/>
      <c r="CO58" s="166"/>
      <c r="CP58" s="166"/>
      <c r="CQ58" s="166"/>
      <c r="CR58" s="166"/>
      <c r="CS58" s="166"/>
      <c r="CT58" s="166"/>
      <c r="CU58" s="166"/>
      <c r="CV58" s="166"/>
      <c r="CW58" s="166"/>
      <c r="CX58" s="166"/>
      <c r="CY58" s="166"/>
      <c r="CZ58" s="166"/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166"/>
      <c r="DL58" s="166"/>
      <c r="DM58" s="166"/>
      <c r="DN58" s="166"/>
      <c r="DO58" s="166"/>
      <c r="DP58" s="166"/>
      <c r="DQ58" s="166"/>
      <c r="DR58" s="166"/>
      <c r="DS58" s="166"/>
      <c r="DT58" s="166"/>
      <c r="DU58" s="166"/>
      <c r="DV58" s="166"/>
      <c r="DW58" s="166"/>
      <c r="DX58" s="166"/>
      <c r="DY58" s="166"/>
      <c r="DZ58" s="166"/>
      <c r="EA58" s="166"/>
      <c r="EB58" s="166"/>
      <c r="EC58" s="166"/>
      <c r="ED58" s="166"/>
      <c r="EE58" s="166"/>
      <c r="EF58" s="166"/>
      <c r="EG58" s="166"/>
      <c r="EH58" s="166"/>
      <c r="EI58" s="166"/>
      <c r="EJ58" s="166"/>
      <c r="EK58" s="166"/>
      <c r="EL58" s="166"/>
      <c r="EM58" s="166"/>
      <c r="EN58" s="166"/>
    </row>
    <row r="59" s="12" customFormat="1" ht="50" customHeight="1" spans="1:144">
      <c r="A59" s="180"/>
      <c r="B59" s="181"/>
      <c r="C59" s="181"/>
      <c r="D59" s="181"/>
      <c r="E59" s="181"/>
      <c r="F59" s="181"/>
      <c r="G59" s="181"/>
      <c r="H59" s="182"/>
      <c r="I59" s="181"/>
      <c r="J59" s="183"/>
      <c r="K59" s="184"/>
      <c r="L59" s="185"/>
      <c r="M59" s="186"/>
      <c r="N59" s="187"/>
      <c r="O59" s="188"/>
      <c r="P59" s="188"/>
      <c r="Q59" s="189"/>
      <c r="R59" s="190"/>
    </row>
    <row r="60" s="2" customFormat="1" ht="60" customHeight="1" spans="1:144">
      <c r="A60" s="191" t="s">
        <v>127</v>
      </c>
      <c r="B60" s="192"/>
      <c r="C60" s="192"/>
      <c r="D60" s="192"/>
      <c r="E60" s="193"/>
      <c r="F60" s="194"/>
      <c r="G60" s="194"/>
      <c r="H60" s="195"/>
      <c r="I60" s="196"/>
      <c r="J60" s="192"/>
      <c r="K60" s="197"/>
      <c r="L60" s="198"/>
      <c r="M60" s="199" t="s">
        <v>128</v>
      </c>
      <c r="N60" s="199"/>
      <c r="O60" s="200"/>
      <c r="P60" s="200"/>
      <c r="Q60" s="199"/>
      <c r="R60" s="201"/>
    </row>
    <row r="61" s="13" customFormat="1" ht="35" customHeight="1" spans="1:144">
      <c r="A61" s="202"/>
      <c r="B61" s="203"/>
      <c r="C61" s="203"/>
      <c r="D61" s="203"/>
      <c r="E61" s="203"/>
      <c r="F61" s="204"/>
      <c r="G61" s="204"/>
      <c r="H61" s="205"/>
      <c r="I61" s="203"/>
      <c r="J61" s="203"/>
      <c r="K61" s="206"/>
      <c r="L61" s="207"/>
      <c r="M61" s="208"/>
      <c r="N61" s="208"/>
      <c r="O61" s="209"/>
      <c r="P61" s="209"/>
      <c r="Q61" s="208"/>
      <c r="R61" s="210"/>
    </row>
    <row r="62" spans="1:144">
      <c r="O62" s="211"/>
      <c r="P62" s="211"/>
      <c r="Q62" s="212"/>
      <c r="R62" s="213"/>
    </row>
  </sheetData>
  <mergeCells count="37">
    <mergeCell ref="A1:R1"/>
    <mergeCell ref="A2:R2"/>
    <mergeCell ref="A3:R3"/>
    <mergeCell ref="A4:R4"/>
    <mergeCell ref="B5:L5"/>
    <mergeCell ref="B6:L6"/>
    <mergeCell ref="B7:L7"/>
    <mergeCell ref="B8:L8"/>
    <mergeCell ref="B9:L9"/>
    <mergeCell ref="F10:G10"/>
    <mergeCell ref="K10:L10"/>
    <mergeCell ref="F11:G11"/>
    <mergeCell ref="A12:R12"/>
    <mergeCell ref="F45:R45"/>
    <mergeCell ref="F46:R46"/>
    <mergeCell ref="F47:R47"/>
    <mergeCell ref="F48:R48"/>
    <mergeCell ref="F49:R49"/>
    <mergeCell ref="F50:R50"/>
    <mergeCell ref="A52:M52"/>
    <mergeCell ref="A53:M53"/>
    <mergeCell ref="M60:R60"/>
    <mergeCell ref="A10:A11"/>
    <mergeCell ref="B10:B11"/>
    <mergeCell ref="C10:C11"/>
    <mergeCell ref="D10:D11"/>
    <mergeCell ref="E10:E11"/>
    <mergeCell ref="I10:I11"/>
    <mergeCell ref="O10:O11"/>
    <mergeCell ref="P10:P11"/>
    <mergeCell ref="Q10:Q11"/>
    <mergeCell ref="R10:R11"/>
    <mergeCell ref="M5:N7"/>
    <mergeCell ref="O5:R7"/>
    <mergeCell ref="M8:N9"/>
    <mergeCell ref="O8:R9"/>
    <mergeCell ref="A41:J42"/>
  </mergeCells>
  <printOptions horizontalCentered="1" verticalCentered="1"/>
  <pageMargins left="0" right="0" top="0" bottom="0" header="0.196527777777778" footer="0.196527777777778"/>
  <pageSetup paperSize="9" scale="19" fitToHeight="0" orientation="portrait"/>
  <headerFooter/>
  <colBreaks count="1" manualBreakCount="1">
    <brk id="1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vpcsd</dc:creator>
  <cp:lastModifiedBy>山间的风</cp:lastModifiedBy>
  <dcterms:created xsi:type="dcterms:W3CDTF">2018-05-24T15:32:00Z</dcterms:created>
  <cp:lastPrinted>2024-08-06T00:05:00Z</cp:lastPrinted>
  <dcterms:modified xsi:type="dcterms:W3CDTF">2026-06-04T02:20:12Z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EFE66640D3D0409B8727ACE844458EC1_13</vt:lpwstr>
  </property>
  <property fmtid="{D5CDD505-2E9C-101B-9397-08002B2CF9AE}" pid="4" name="CalculationRule">
    <vt:i4>0</vt:i4>
  </property>
</Properties>
</file>
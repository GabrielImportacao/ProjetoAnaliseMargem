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(2)'!$A$15:$CSN$65</definedName>
    <definedName name="_xlnm.Print_Area" localSheetId="0">'Sheet1 (2)'!$A$1:$R$66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<sst xmlns="http://schemas.openxmlformats.org/spreadsheetml/2006/main" count="186" uniqueCount="136">
  <si>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</si>
  <si>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</si>
  <si>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</si>
  <si>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</si>
  <si>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</si>
  <si>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IND. E COM. DE PLÁSTICOS LTDA</t>
  </si>
  <si>
    <t>Invoice NO. :</t>
  </si>
  <si>
    <t>MSY20260603LB03</t>
  </si>
  <si>
    <t>ADD:</t>
  </si>
  <si>
    <t>RUA JOSÉ KOSER, 185 – BELCHIOR ALTO – GASPAR/SC - BRAZIL</t>
  </si>
  <si>
    <t>CEP:</t>
  </si>
  <si>
    <t>89118-040 - CNPJ: 79.925.442/0002-80 -</t>
  </si>
  <si>
    <t>INSCRIÇÃO ESTADUAL:</t>
  </si>
  <si>
    <t>260.452.998</t>
  </si>
  <si>
    <t>FONE:</t>
  </si>
  <si>
    <t>+5547-33316700</t>
  </si>
  <si>
    <t>Invoice Date:</t>
  </si>
  <si>
    <t xml:space="preserve">IMPORTER: </t>
  </si>
  <si>
    <t>RGS COMEX COMÉRCIO IMPORTAÇÃO E EXPORTAÇÃO LTDA</t>
  </si>
  <si>
    <t>AV JOCA BRANDÃO, 744 - SALA 02 - CENTRO -</t>
  </si>
  <si>
    <t xml:space="preserve"> 88.301-441 - ITAJAÍ-SC - BRAZIL</t>
  </si>
  <si>
    <t>CNPJ:</t>
  </si>
  <si>
    <t xml:space="preserve">05.289.272/0002-58 - </t>
  </si>
  <si>
    <t>IE: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</si>
  <si>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</si>
  <si>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</si>
  <si>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</si>
  <si>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</si>
  <si>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</si>
  <si>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</si>
  <si>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</si>
  <si>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</si>
  <si>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</si>
  <si>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</si>
  <si>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</si>
  <si>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</si>
  <si>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</si>
  <si>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</si>
  <si>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</si>
  <si>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</si>
  <si>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</si>
  <si>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</si>
  <si>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</si>
  <si>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</si>
  <si>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</si>
  <si>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</si>
  <si>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A554</t>
  </si>
  <si>
    <t>MSC2405.1105</t>
  </si>
  <si>
    <t>A554</t>
  </si>
  <si>
    <t>020X040 x 1,2MM</t>
  </si>
  <si>
    <t>RECTANGULAR TUBE / ASTM A554 / OUTSIDE POLISHED 600 GRIT  / THICKNESS 1.2MM x LENGTH 6000MM</t>
  </si>
  <si>
    <t>MSC2405.1106</t>
  </si>
  <si>
    <t>020X050 x 1,2MM</t>
  </si>
  <si>
    <t>MSC2405.1111</t>
  </si>
  <si>
    <t>030X050 x 1,2MM</t>
  </si>
  <si>
    <t>MSC2405.1201</t>
  </si>
  <si>
    <t>010X020 x 1,5MM</t>
  </si>
  <si>
    <t>RECTANGULAR TUBE / ASTM A554 / OUTSIDE POLISHED 600 GRIT  / THICKNESS 1.5MM x LENGTH 6000MM</t>
  </si>
  <si>
    <t>MSC2405.1202</t>
  </si>
  <si>
    <t>010X030 x 1,5MM</t>
  </si>
  <si>
    <t>MSC2405.1205</t>
  </si>
  <si>
    <t>020X040 x 1,5MM</t>
  </si>
  <si>
    <t>MSC2405.1206</t>
  </si>
  <si>
    <t>020X050 x 1,5MM</t>
  </si>
  <si>
    <t>MSC2405.1211</t>
  </si>
  <si>
    <t>030X050 x 1,5MM</t>
  </si>
  <si>
    <t>MSC2405.1216</t>
  </si>
  <si>
    <t>040X060 x 1,5MM</t>
  </si>
  <si>
    <t>MSC2405.1220</t>
  </si>
  <si>
    <t>050X100 x 1,5MM</t>
  </si>
  <si>
    <t>MSC2405.1416</t>
  </si>
  <si>
    <t>040X060 x 2,0MM</t>
  </si>
  <si>
    <t>RECTANGULAR TUBE / ASTM A554 / OUTSIDE POLISHED 600 GRIT  / THICKNESS 2.0MM x LENGTH 6000MM</t>
  </si>
  <si>
    <t>MSC2405.1420</t>
  </si>
  <si>
    <t>050X100 x 2,0MM</t>
  </si>
  <si>
    <t>MSC2405.1212</t>
  </si>
  <si>
    <t>030x060 x 1,5MM</t>
  </si>
  <si>
    <t>MSC2404.1203</t>
  </si>
  <si>
    <t xml:space="preserve">020X020 x 1,5MM </t>
  </si>
  <si>
    <t>SQUARE TUBE / ASTM A554 / OUTSIDE POLISHED 600 GRIT  / THICKNESS 1.5MM x LENGTH 6000MM</t>
  </si>
  <si>
    <t>MSC2404.1205</t>
  </si>
  <si>
    <t xml:space="preserve">030X030 x 1,5MM </t>
  </si>
  <si>
    <t>MSC2404.1207</t>
  </si>
  <si>
    <t xml:space="preserve">040X040 x 1,5MM </t>
  </si>
  <si>
    <t>MSC2404.1208</t>
  </si>
  <si>
    <t>050X050 x 1,5MM</t>
  </si>
  <si>
    <t>MSC2404.1407</t>
  </si>
  <si>
    <t xml:space="preserve">040X040 x 2,0MM </t>
  </si>
  <si>
    <t>SQUARE TUBE / ASTM A554 / OUTSIDE POLISHED 600 GRIT  / THICKNESS 2.0MM x LENGTH 6000MM</t>
  </si>
  <si>
    <t>MSC2404.1103</t>
  </si>
  <si>
    <t xml:space="preserve">020X020 x 1,2MM </t>
  </si>
  <si>
    <t>SQUARE TUBE / ASTM A554 / OUTSIDE POLISHED 600 GRIT / THICKNESS 1.2MM x LENGTH 6000MM</t>
  </si>
  <si>
    <t>MSC2404.1105</t>
  </si>
  <si>
    <t xml:space="preserve">030X030 x 1,2MM </t>
  </si>
  <si>
    <t>MSC2404.1107</t>
  </si>
  <si>
    <t xml:space="preserve">040X040 x 1,2MM </t>
  </si>
  <si>
    <t>MSC2404.1108</t>
  </si>
  <si>
    <t>050X050 x 1,2MM</t>
  </si>
  <si>
    <t>MSC2404.1412</t>
  </si>
  <si>
    <t>100X100 x 2,0MM</t>
  </si>
  <si>
    <t>MSC2404.1209</t>
  </si>
  <si>
    <t>060X060 x 1,5MM</t>
  </si>
  <si>
    <t>SQUARE TUBE / ASTM A554 / OUTSIDE POLISHED 600 GRIT / THICKNESS 1.5MM x LENGTH 6000MM</t>
  </si>
  <si>
    <t>MSC2404.1408</t>
  </si>
  <si>
    <t>050X050 x 2,0MM</t>
  </si>
  <si>
    <t>SQUARE TUBE / ASTM A554 / OUTSIDE POLISHED 600 GRIT / THICKNESS 2.0MM x LENGTH 6000MM</t>
  </si>
  <si>
    <t>MSC2404.1409</t>
  </si>
  <si>
    <t>060X060 x 2,0MM</t>
  </si>
  <si>
    <t>SQUARE TUBE / ASTM A554 / OUTSIDE POLISHED 600 GRIT / THICKNESS 2.MM x LENGTH 6000MM</t>
  </si>
  <si>
    <t>MSC2404.1411</t>
  </si>
  <si>
    <t>080X080 x 2,0MM</t>
  </si>
  <si>
    <t>SQUARE TUBE / ASTM A554 / OUTSIDE POLISHED 600 GRIT / THICKNESS 3.0MM x LENGTH 6000MM</t>
  </si>
  <si>
    <t>SAY US DOLLARS FIFTY-EIGHT THOUSAND SIX HUNDRED AND EIGHTY-EIGHT AND TEN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</si>
  <si>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</si>
  <si>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</si>
  <si>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</si>
  <si>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</si>
  <si>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</si>
  <si>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</si>
  <si>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r>
      <rPr>
        <b/>
        <sz val="36"/>
        <rFont val="Calibri"/>
        <charset val="134"/>
      </rPr>
      <t>3.Delivery time</t>
    </r>
    <r>
      <rPr>
        <sz val="36"/>
        <rFont val="Calibri"/>
        <charset val="134"/>
      </rPr>
      <t xml:space="preserve">:        </t>
    </r>
  </si>
  <si>
    <t>30-35 days since the date of receipt of deposit</t>
  </si>
  <si>
    <t xml:space="preserve">4.Packing:                  </t>
  </si>
  <si>
    <r>
      <rPr>
        <sz val="36"/>
        <rFont val="Calibri"/>
        <charset val="134"/>
      </rPr>
      <t>Each tube in normal PVC bag,2 short ropes around each bundle</t>
    </r>
    <r>
      <rPr>
        <sz val="36"/>
        <rFont val="宋体"/>
        <charset val="134"/>
      </rPr>
      <t>；</t>
    </r>
  </si>
  <si>
    <r>
      <rPr>
        <b/>
        <sz val="36"/>
        <rFont val="Calibri"/>
        <charset val="134"/>
      </rPr>
      <t>5.Tolerance:</t>
    </r>
    <r>
      <rPr>
        <sz val="36"/>
        <rFont val="Calibri"/>
        <charset val="134"/>
      </rPr>
      <t xml:space="preserve">          </t>
    </r>
  </si>
  <si>
    <t>Thickness: ±10%, quantity:±10%, others as per ASTM-A554 standard.</t>
  </si>
  <si>
    <t>6.CLAIM VALIDITY:</t>
  </si>
  <si>
    <t>IN CASE OF ANY CLAIM, IT SHOULD BE RAISED WITHIN ONE MONTH UPON RECEIVED MATERIAL.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</si>
  <si>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</si>
  <si>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</si>
  <si>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</si>
  <si>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</si>
  <si>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</si>
  <si>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</si>
  <si>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</si>
  <si>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</si>
  <si>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buyer:PLASNOX IND. E COM. DE PLÁSTICOS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</si>
</sst>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38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b/>
      <sz val="28"/>
      <color theme="1"/>
      <name val="Calibri"/>
      <charset val="134"/>
    </font>
    <font>
      <sz val="36"/>
      <name val="Calibri"/>
      <charset val="134"/>
    </font>
    <font>
      <sz val="28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3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4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3" applyNumberFormat="0" applyFill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5" applyNumberFormat="0" applyAlignment="0" applyProtection="0">
      <alignment vertical="center"/>
    </xf>
    <xf numFmtId="0" fontId="26" fillId="7" borderId="46" applyNumberFormat="0" applyAlignment="0" applyProtection="0">
      <alignment vertical="center"/>
    </xf>
    <xf numFmtId="0" fontId="27" fillId="7" borderId="45" applyNumberFormat="0" applyAlignment="0" applyProtection="0">
      <alignment vertical="center"/>
    </xf>
    <xf numFmtId="0" fontId="28" fillId="8" borderId="47" applyNumberFormat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22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/>
    </xf>
    <xf numFmtId="179" fontId="5" fillId="0" borderId="11" xfId="0" applyNumberFormat="1" applyFont="1" applyFill="1" applyBorder="1" applyAlignment="1">
      <alignment horizontal="center" vertical="center" wrapText="1"/>
    </xf>
    <xf numFmtId="179" fontId="5" fillId="0" borderId="12" xfId="0" applyNumberFormat="1" applyFont="1" applyFill="1" applyBorder="1" applyAlignment="1">
      <alignment horizontal="center" vertical="center" wrapText="1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177" fontId="5" fillId="0" borderId="12" xfId="0" applyNumberFormat="1" applyFont="1" applyFill="1" applyBorder="1" applyAlignment="1">
      <alignment horizontal="center" vertical="center" wrapText="1"/>
    </xf>
    <xf numFmtId="177" fontId="5" fillId="0" borderId="13" xfId="0" applyNumberFormat="1" applyFont="1" applyFill="1" applyBorder="1" applyAlignment="1">
      <alignment horizontal="center" vertical="center" wrapText="1"/>
    </xf>
    <xf numFmtId="179" fontId="5" fillId="0" borderId="14" xfId="0" applyNumberFormat="1" applyFont="1" applyFill="1" applyBorder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176" fontId="5" fillId="0" borderId="14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177" fontId="5" fillId="0" borderId="15" xfId="0" applyNumberFormat="1" applyFont="1" applyFill="1" applyBorder="1" applyAlignment="1">
      <alignment horizontal="center" vertical="center" wrapText="1"/>
    </xf>
    <xf numFmtId="176" fontId="5" fillId="0" borderId="16" xfId="0" applyNumberFormat="1" applyFont="1" applyFill="1" applyBorder="1" applyAlignment="1">
      <alignment horizontal="center" vertical="center" wrapText="1"/>
    </xf>
    <xf numFmtId="176" fontId="5" fillId="0" borderId="17" xfId="0" applyNumberFormat="1" applyFont="1" applyFill="1" applyBorder="1" applyAlignment="1">
      <alignment horizontal="center" vertical="center" wrapText="1"/>
    </xf>
    <xf numFmtId="177" fontId="5" fillId="0" borderId="17" xfId="0" applyNumberFormat="1" applyFont="1" applyFill="1" applyBorder="1" applyAlignment="1">
      <alignment horizontal="center" vertical="center" wrapText="1"/>
    </xf>
    <xf numFmtId="177" fontId="5" fillId="0" borderId="18" xfId="0" applyNumberFormat="1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176" fontId="12" fillId="3" borderId="21" xfId="0" applyNumberFormat="1" applyFont="1" applyFill="1" applyBorder="1" applyAlignment="1">
      <alignment horizontal="center" vertical="center" wrapText="1"/>
    </xf>
    <xf numFmtId="177" fontId="12" fillId="3" borderId="21" xfId="0" applyNumberFormat="1" applyFont="1" applyFill="1" applyBorder="1" applyAlignment="1">
      <alignment horizontal="center" vertical="center" wrapText="1"/>
    </xf>
    <xf numFmtId="178" fontId="12" fillId="3" borderId="21" xfId="0" applyNumberFormat="1" applyFont="1" applyFill="1" applyBorder="1" applyAlignment="1">
      <alignment horizontal="center" vertical="center" wrapText="1"/>
    </xf>
    <xf numFmtId="178" fontId="12" fillId="3" borderId="16" xfId="0" applyNumberFormat="1" applyFont="1" applyFill="1" applyBorder="1" applyAlignment="1">
      <alignment horizontal="center" vertical="center" wrapText="1"/>
    </xf>
    <xf numFmtId="176" fontId="12" fillId="3" borderId="23" xfId="0" applyNumberFormat="1" applyFont="1" applyFill="1" applyBorder="1" applyAlignment="1">
      <alignment horizontal="center" vertical="center" wrapText="1"/>
    </xf>
    <xf numFmtId="178" fontId="12" fillId="3" borderId="23" xfId="0" applyNumberFormat="1" applyFont="1" applyFill="1" applyBorder="1" applyAlignment="1">
      <alignment horizontal="center" vertical="center" wrapText="1"/>
    </xf>
    <xf numFmtId="178" fontId="12" fillId="3" borderId="24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 wrapText="1"/>
    </xf>
    <xf numFmtId="178" fontId="12" fillId="3" borderId="25" xfId="0" applyNumberFormat="1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176" fontId="13" fillId="0" borderId="27" xfId="0" applyNumberFormat="1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176" fontId="8" fillId="0" borderId="2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21" xfId="0" applyNumberFormat="1" applyFont="1" applyFill="1" applyBorder="1" applyAlignment="1">
      <alignment horizontal="center" vertical="center"/>
    </xf>
    <xf numFmtId="178" fontId="14" fillId="0" borderId="14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 wrapText="1"/>
    </xf>
    <xf numFmtId="176" fontId="14" fillId="0" borderId="21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79" fontId="14" fillId="0" borderId="21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8" fontId="3" fillId="0" borderId="23" xfId="0" applyNumberFormat="1" applyFont="1" applyFill="1" applyBorder="1" applyAlignment="1">
      <alignment horizontal="center" vertical="center"/>
    </xf>
    <xf numFmtId="179" fontId="14" fillId="0" borderId="23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176" fontId="8" fillId="0" borderId="30" xfId="0" applyNumberFormat="1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 wrapText="1"/>
    </xf>
    <xf numFmtId="178" fontId="3" fillId="0" borderId="30" xfId="0" applyNumberFormat="1" applyFont="1" applyFill="1" applyBorder="1" applyAlignment="1">
      <alignment horizontal="center" vertical="center"/>
    </xf>
    <xf numFmtId="179" fontId="14" fillId="0" borderId="31" xfId="0" applyNumberFormat="1" applyFont="1" applyFill="1" applyBorder="1" applyAlignment="1">
      <alignment horizontal="center" vertical="center"/>
    </xf>
    <xf numFmtId="179" fontId="14" fillId="0" borderId="32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32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5" fillId="0" borderId="23" xfId="0" applyNumberFormat="1" applyFont="1" applyFill="1" applyBorder="1" applyAlignment="1">
      <alignment horizontal="center" vertical="center"/>
    </xf>
    <xf numFmtId="178" fontId="5" fillId="0" borderId="24" xfId="0" applyNumberFormat="1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176" fontId="8" fillId="0" borderId="12" xfId="0" applyNumberFormat="1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vertical="center"/>
    </xf>
    <xf numFmtId="176" fontId="3" fillId="0" borderId="12" xfId="0" applyNumberFormat="1" applyFont="1" applyFill="1" applyBorder="1" applyAlignment="1">
      <alignment vertical="center"/>
    </xf>
    <xf numFmtId="178" fontId="3" fillId="0" borderId="12" xfId="0" applyNumberFormat="1" applyFont="1" applyFill="1" applyBorder="1" applyAlignment="1">
      <alignment horizontal="center" vertical="center"/>
    </xf>
    <xf numFmtId="176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vertical="center"/>
    </xf>
    <xf numFmtId="0" fontId="15" fillId="0" borderId="15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80" fontId="15" fillId="0" borderId="34" xfId="0" applyNumberFormat="1" applyFont="1" applyFill="1" applyBorder="1" applyAlignment="1">
      <alignment vertical="center"/>
    </xf>
    <xf numFmtId="180" fontId="1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 readingOrder="1"/>
    </xf>
    <xf numFmtId="176" fontId="6" fillId="0" borderId="0" xfId="0" applyNumberFormat="1" applyFont="1" applyFill="1" applyAlignment="1">
      <alignment horizontal="left" vertical="center" wrapText="1" readingOrder="1"/>
    </xf>
    <xf numFmtId="0" fontId="6" fillId="0" borderId="15" xfId="0" applyFont="1" applyFill="1" applyBorder="1" applyAlignment="1">
      <alignment horizontal="left" vertical="center" wrapText="1" readingOrder="1"/>
    </xf>
    <xf numFmtId="180" fontId="12" fillId="0" borderId="34" xfId="0" applyNumberFormat="1" applyFont="1" applyFill="1" applyBorder="1" applyAlignment="1">
      <alignment horizontal="left" vertical="center"/>
    </xf>
    <xf numFmtId="180" fontId="12" fillId="0" borderId="0" xfId="0" applyNumberFormat="1" applyFont="1" applyFill="1" applyAlignment="1">
      <alignment horizontal="left" vertical="center"/>
    </xf>
    <xf numFmtId="180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 wrapText="1" readingOrder="1"/>
    </xf>
    <xf numFmtId="176" fontId="8" fillId="0" borderId="0" xfId="0" applyNumberFormat="1" applyFont="1" applyFill="1" applyAlignment="1">
      <alignment horizontal="center" vertical="center" wrapText="1" readingOrder="1"/>
    </xf>
    <xf numFmtId="0" fontId="8" fillId="0" borderId="0" xfId="0" applyFont="1" applyFill="1" applyAlignment="1">
      <alignment horizontal="left" vertical="center" wrapText="1" readingOrder="1"/>
    </xf>
    <xf numFmtId="177" fontId="8" fillId="0" borderId="0" xfId="0" applyNumberFormat="1" applyFont="1" applyFill="1" applyAlignment="1">
      <alignment horizontal="left" vertical="center" wrapText="1" readingOrder="1"/>
    </xf>
    <xf numFmtId="176" fontId="8" fillId="0" borderId="0" xfId="0" applyNumberFormat="1" applyFont="1" applyFill="1" applyAlignment="1">
      <alignment horizontal="left" vertical="center" wrapText="1" readingOrder="1"/>
    </xf>
    <xf numFmtId="178" fontId="8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15" xfId="0" applyNumberFormat="1" applyFont="1" applyFill="1" applyBorder="1" applyAlignment="1">
      <alignment horizontal="center" vertical="center"/>
    </xf>
    <xf numFmtId="180" fontId="12" fillId="0" borderId="34" xfId="0" applyNumberFormat="1" applyFont="1" applyBorder="1" applyAlignment="1">
      <alignment horizontal="left" vertical="center"/>
    </xf>
    <xf numFmtId="180" fontId="12" fillId="0" borderId="0" xfId="0" applyNumberFormat="1" applyFont="1" applyAlignment="1">
      <alignment horizontal="left" vertical="center"/>
    </xf>
    <xf numFmtId="180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left" vertical="center"/>
    </xf>
    <xf numFmtId="182" fontId="12" fillId="0" borderId="0" xfId="0" applyNumberFormat="1" applyFont="1" applyAlignment="1">
      <alignment horizontal="left" vertical="center"/>
    </xf>
    <xf numFmtId="182" fontId="3" fillId="0" borderId="0" xfId="0" applyNumberFormat="1" applyFont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15" xfId="0" applyNumberFormat="1" applyFont="1" applyBorder="1"/>
    <xf numFmtId="180" fontId="12" fillId="0" borderId="34" xfId="0" applyNumberFormat="1" applyFont="1" applyBorder="1" applyAlignment="1">
      <alignment vertical="center"/>
    </xf>
    <xf numFmtId="180" fontId="12" fillId="0" borderId="0" xfId="0" applyNumberFormat="1" applyFont="1" applyAlignment="1">
      <alignment vertical="center"/>
    </xf>
    <xf numFmtId="181" fontId="12" fillId="0" borderId="0" xfId="0" applyNumberFormat="1" applyFont="1" applyAlignment="1">
      <alignment vertical="center"/>
    </xf>
    <xf numFmtId="182" fontId="12" fillId="0" borderId="0" xfId="0" applyNumberFormat="1" applyFont="1" applyAlignment="1">
      <alignment vertical="center"/>
    </xf>
    <xf numFmtId="176" fontId="12" fillId="0" borderId="0" xfId="0" applyNumberFormat="1" applyFont="1" applyBorder="1" applyAlignment="1">
      <alignment vertical="center"/>
    </xf>
    <xf numFmtId="180" fontId="12" fillId="0" borderId="0" xfId="0" applyNumberFormat="1" applyFont="1" applyBorder="1" applyAlignment="1">
      <alignment vertical="center"/>
    </xf>
    <xf numFmtId="180" fontId="12" fillId="0" borderId="15" xfId="0" applyNumberFormat="1" applyFont="1" applyBorder="1" applyAlignment="1">
      <alignment vertical="center"/>
    </xf>
    <xf numFmtId="180" fontId="12" fillId="0" borderId="0" xfId="0" applyNumberFormat="1" applyFont="1" applyAlignment="1">
      <alignment vertical="center" shrinkToFit="1"/>
    </xf>
    <xf numFmtId="180" fontId="12" fillId="0" borderId="0" xfId="0" applyNumberFormat="1" applyFont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176" fontId="12" fillId="0" borderId="0" xfId="0" applyNumberFormat="1" applyFont="1" applyBorder="1" applyAlignment="1">
      <alignment vertical="center" shrinkToFit="1"/>
    </xf>
    <xf numFmtId="180" fontId="12" fillId="0" borderId="0" xfId="0" applyNumberFormat="1" applyFont="1" applyBorder="1" applyAlignment="1">
      <alignment vertical="center" shrinkToFit="1"/>
    </xf>
    <xf numFmtId="180" fontId="12" fillId="0" borderId="15" xfId="0" applyNumberFormat="1" applyFont="1" applyBorder="1" applyAlignment="1">
      <alignment vertical="center" shrinkToFi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181" fontId="3" fillId="0" borderId="36" xfId="0" applyNumberFormat="1" applyFont="1" applyBorder="1" applyAlignment="1">
      <alignment horizontal="center" vertical="center"/>
    </xf>
    <xf numFmtId="183" fontId="3" fillId="0" borderId="36" xfId="0" applyNumberFormat="1" applyFont="1" applyBorder="1" applyAlignment="1">
      <alignment horizontal="center" vertical="center"/>
    </xf>
    <xf numFmtId="182" fontId="3" fillId="0" borderId="36" xfId="0" applyNumberFormat="1" applyFont="1" applyBorder="1" applyAlignment="1">
      <alignment horizontal="center" vertical="center"/>
    </xf>
    <xf numFmtId="184" fontId="3" fillId="0" borderId="36" xfId="0" applyNumberFormat="1" applyFont="1" applyBorder="1" applyAlignment="1">
      <alignment vertical="center"/>
    </xf>
    <xf numFmtId="0" fontId="6" fillId="0" borderId="3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37" xfId="0" applyNumberFormat="1" applyFont="1" applyFill="1" applyBorder="1" applyAlignment="1">
      <alignment horizontal="left" vertical="center" wrapText="1"/>
    </xf>
    <xf numFmtId="176" fontId="6" fillId="0" borderId="37" xfId="0" applyNumberFormat="1" applyFont="1" applyFill="1" applyBorder="1" applyAlignment="1">
      <alignment horizontal="left" vertical="center" wrapText="1"/>
    </xf>
    <xf numFmtId="179" fontId="6" fillId="0" borderId="38" xfId="0" applyNumberFormat="1" applyFont="1" applyFill="1" applyBorder="1" applyAlignment="1">
      <alignment horizontal="left" vertical="center" wrapText="1"/>
    </xf>
    <xf numFmtId="0" fontId="3" fillId="0" borderId="39" xfId="0" applyFont="1" applyFill="1" applyBorder="1" applyAlignment="1">
      <alignment vertical="center"/>
    </xf>
    <xf numFmtId="0" fontId="3" fillId="0" borderId="40" xfId="0" applyFont="1" applyFill="1" applyBorder="1" applyAlignment="1">
      <alignment vertical="center"/>
    </xf>
    <xf numFmtId="0" fontId="3" fillId="0" borderId="40" xfId="0" applyFont="1" applyFill="1" applyBorder="1" applyAlignment="1">
      <alignment horizontal="center" vertical="center"/>
    </xf>
    <xf numFmtId="176" fontId="8" fillId="0" borderId="40" xfId="0" applyNumberFormat="1" applyFont="1" applyFill="1" applyBorder="1" applyAlignment="1">
      <alignment horizontal="center" vertical="center"/>
    </xf>
    <xf numFmtId="177" fontId="3" fillId="0" borderId="40" xfId="0" applyNumberFormat="1" applyFont="1" applyFill="1" applyBorder="1" applyAlignment="1">
      <alignment vertical="center"/>
    </xf>
    <xf numFmtId="176" fontId="3" fillId="0" borderId="40" xfId="0" applyNumberFormat="1" applyFont="1" applyFill="1" applyBorder="1" applyAlignment="1">
      <alignment vertical="center"/>
    </xf>
    <xf numFmtId="178" fontId="3" fillId="0" borderId="40" xfId="0" applyNumberFormat="1" applyFont="1" applyFill="1" applyBorder="1" applyAlignment="1">
      <alignment horizontal="center" vertical="center"/>
    </xf>
    <xf numFmtId="176" fontId="3" fillId="0" borderId="40" xfId="0" applyNumberFormat="1" applyFont="1" applyFill="1" applyBorder="1" applyAlignment="1">
      <alignment horizontal="center" vertical="center"/>
    </xf>
    <xf numFmtId="178" fontId="3" fillId="0" borderId="41" xfId="0" applyNumberFormat="1" applyFont="1" applyFill="1" applyBorder="1" applyAlignment="1">
      <alignment horizontal="center" vertical="center"/>
    </xf>
    <xf numFmtId="176" fontId="1" fillId="0" borderId="21" xfId="0" applyNumberFormat="1" applyFont="1" applyFill="1" applyBorder="1" applyAlignment="1">
      <alignment horizontal="center" vertical="center"/>
    </xf>
    <xf numFmtId="178" fontId="1" fillId="0" borderId="21" xfId="0" applyNumberFormat="1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1345565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J67"/>
  <sheetViews>
    <sheetView tabSelected="1" view="pageBreakPreview" zoomScale="30" zoomScaleNormal="100" topLeftCell="D1" workbookViewId="0">
      <selection activeCell="AD9" sqref="AD9"/>
    </sheetView>
  </sheetViews>
  <sheetFormatPr defaultColWidth="23" defaultRowHeight="31.5"/>
  <cols>
    <col min="1" max="5" width="25.625" style="7" customWidth="1"/>
    <col min="6" max="7" width="25.625" style="14" customWidth="1"/>
    <col min="8" max="8" width="25.625" style="15" customWidth="1"/>
    <col min="9" max="9" width="40.625" style="7" customWidth="1"/>
    <col min="10" max="10" width="25.625" style="7" customWidth="1"/>
    <col min="11" max="11" width="25.625" style="16" customWidth="1"/>
    <col min="12" max="12" width="25.625" style="17" customWidth="1"/>
    <col min="13" max="13" width="25.625" style="18" customWidth="1"/>
    <col min="14" max="14" width="35.625" style="18" customWidth="1"/>
    <col min="15" max="16" width="25.625" style="19" customWidth="1"/>
    <col min="17" max="17" width="30" style="20" customWidth="1"/>
    <col min="18" max="18" width="35.625" style="21" customWidth="1"/>
    <col min="19" max="16345" width="23" style="7" customWidth="1"/>
    <col min="16346" max="16384" width="23" style="7"/>
  </cols>
  <sheetData>
    <row r="1" s="1" customFormat="1" ht="70" customHeight="1" spans="1:18">
      <c r="A1" s="22" t="s">
        <v>0</v>
      </c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4"/>
      <c r="P1" s="24"/>
      <c r="Q1" s="23"/>
      <c r="R1" s="25"/>
    </row>
    <row r="2" s="1" customFormat="1" ht="70" customHeight="1" spans="1:18">
      <c r="A2" s="26" t="s">
        <v>1</v>
      </c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8"/>
      <c r="P2" s="28"/>
      <c r="Q2" s="27"/>
      <c r="R2" s="29"/>
    </row>
    <row r="3" s="1" customFormat="1" ht="70" customHeight="1" spans="1:18">
      <c r="A3" s="26" t="s">
        <v>2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8"/>
      <c r="P3" s="28"/>
      <c r="Q3" s="27"/>
      <c r="R3" s="29"/>
    </row>
    <row r="4" s="2" customFormat="1" ht="70" customHeight="1" spans="1:18">
      <c r="A4" s="30" t="s">
        <v>3</v>
      </c>
      <c r="B4" s="31"/>
      <c r="C4" s="31"/>
      <c r="D4" s="31"/>
      <c r="E4" s="31"/>
      <c r="F4" s="31"/>
      <c r="G4" s="31"/>
      <c r="H4" s="32"/>
      <c r="I4" s="31"/>
      <c r="J4" s="31"/>
      <c r="K4" s="31"/>
      <c r="L4" s="31"/>
      <c r="M4" s="31"/>
      <c r="N4" s="31"/>
      <c r="O4" s="32"/>
      <c r="P4" s="32"/>
      <c r="Q4" s="31"/>
      <c r="R4" s="33"/>
    </row>
    <row r="5" s="3" customFormat="1" ht="60" customHeight="1" spans="1:18">
      <c r="A5" s="34" t="s">
        <v>4</v>
      </c>
      <c r="B5" s="35" t="s">
        <v>5</v>
      </c>
      <c r="C5" s="36"/>
      <c r="D5" s="36"/>
      <c r="E5" s="36"/>
      <c r="F5" s="37"/>
      <c r="G5" s="37"/>
      <c r="H5" s="38"/>
      <c r="I5" s="36"/>
      <c r="J5" s="36"/>
      <c r="K5" s="36"/>
      <c r="L5" s="39"/>
      <c r="M5" s="40" t="s">
        <v>6</v>
      </c>
      <c r="N5" s="41"/>
      <c r="O5" s="42" t="s">
        <v>7</v>
      </c>
      <c r="P5" s="43"/>
      <c r="Q5" s="44"/>
      <c r="R5" s="45"/>
    </row>
    <row r="6" s="3" customFormat="1" ht="60" customHeight="1" spans="1:18">
      <c r="A6" s="34" t="s">
        <v>8</v>
      </c>
      <c r="B6" s="35" t="s">
        <v>9</v>
      </c>
      <c r="C6" s="36"/>
      <c r="D6" s="36"/>
      <c r="E6" s="36"/>
      <c r="F6" s="37"/>
      <c r="G6" s="37"/>
      <c r="H6" s="38"/>
      <c r="I6" s="36"/>
      <c r="J6" s="36"/>
      <c r="K6" s="36"/>
      <c r="L6" s="39"/>
      <c r="M6" s="46"/>
      <c r="N6" s="47"/>
      <c r="O6" s="48"/>
      <c r="P6" s="49"/>
      <c r="Q6" s="50"/>
      <c r="R6" s="51"/>
    </row>
    <row r="7" s="3" customFormat="1" ht="60" customHeight="1" spans="1:18">
      <c r="A7" s="34" t="s">
        <v>10</v>
      </c>
      <c r="B7" s="35" t="s">
        <v>11</v>
      </c>
      <c r="C7" s="36"/>
      <c r="D7" s="36"/>
      <c r="E7" s="36"/>
      <c r="F7" s="37"/>
      <c r="G7" s="37"/>
      <c r="H7" s="38"/>
      <c r="I7" s="36"/>
      <c r="J7" s="36"/>
      <c r="K7" s="36"/>
      <c r="L7" s="39"/>
      <c r="M7" s="46"/>
      <c r="N7" s="47"/>
      <c r="O7" s="48"/>
      <c r="P7" s="49"/>
      <c r="Q7" s="50"/>
      <c r="R7" s="51"/>
    </row>
    <row r="8" s="3" customFormat="1" ht="75" customHeight="1" spans="1:18">
      <c r="A8" s="34" t="s">
        <v>12</v>
      </c>
      <c r="B8" s="35" t="s">
        <v>13</v>
      </c>
      <c r="C8" s="36"/>
      <c r="D8" s="36"/>
      <c r="E8" s="36"/>
      <c r="F8" s="37"/>
      <c r="G8" s="37"/>
      <c r="H8" s="38"/>
      <c r="I8" s="36"/>
      <c r="J8" s="36"/>
      <c r="K8" s="36"/>
      <c r="L8" s="39"/>
      <c r="M8" s="46"/>
      <c r="N8" s="47"/>
      <c r="O8" s="52"/>
      <c r="P8" s="53"/>
      <c r="Q8" s="54"/>
      <c r="R8" s="55"/>
    </row>
    <row r="9" s="4" customFormat="1" ht="60" customHeight="1" spans="1:18">
      <c r="A9" s="56" t="s">
        <v>14</v>
      </c>
      <c r="B9" s="224" t="s">
        <v>15</v>
      </c>
      <c r="C9" s="36"/>
      <c r="D9" s="36"/>
      <c r="E9" s="36"/>
      <c r="F9" s="37"/>
      <c r="G9" s="37"/>
      <c r="H9" s="38"/>
      <c r="I9" s="36"/>
      <c r="J9" s="36"/>
      <c r="K9" s="36"/>
      <c r="L9" s="39"/>
      <c r="M9" s="40" t="s">
        <v>16</v>
      </c>
      <c r="N9" s="41"/>
      <c r="O9" s="57">
        <v>46176</v>
      </c>
      <c r="P9" s="58"/>
      <c r="Q9" s="58"/>
      <c r="R9" s="59"/>
    </row>
    <row r="10" s="4" customFormat="1" ht="60" customHeight="1" spans="1:18">
      <c r="A10" s="56" t="s">
        <v>17</v>
      </c>
      <c r="B10" s="35" t="s">
        <v>18</v>
      </c>
      <c r="C10" s="36"/>
      <c r="D10" s="36"/>
      <c r="E10" s="36"/>
      <c r="F10" s="37"/>
      <c r="G10" s="37"/>
      <c r="H10" s="38"/>
      <c r="I10" s="36"/>
      <c r="J10" s="36"/>
      <c r="K10" s="36"/>
      <c r="L10" s="39"/>
      <c r="M10" s="46"/>
      <c r="N10" s="47"/>
      <c r="O10" s="60"/>
      <c r="P10" s="61"/>
      <c r="Q10" s="61"/>
      <c r="R10" s="62"/>
    </row>
    <row r="11" s="4" customFormat="1" ht="60" customHeight="1" spans="1:18">
      <c r="A11" s="56" t="s">
        <v>8</v>
      </c>
      <c r="B11" s="35" t="s">
        <v>19</v>
      </c>
      <c r="C11" s="36"/>
      <c r="D11" s="36"/>
      <c r="E11" s="36"/>
      <c r="F11" s="37"/>
      <c r="G11" s="37"/>
      <c r="H11" s="38"/>
      <c r="I11" s="36"/>
      <c r="J11" s="36"/>
      <c r="K11" s="36"/>
      <c r="L11" s="39"/>
      <c r="M11" s="46"/>
      <c r="N11" s="47"/>
      <c r="O11" s="60"/>
      <c r="P11" s="61"/>
      <c r="Q11" s="61"/>
      <c r="R11" s="62"/>
    </row>
    <row r="12" s="4" customFormat="1" ht="60" customHeight="1" spans="1:18">
      <c r="A12" s="56" t="s">
        <v>10</v>
      </c>
      <c r="B12" s="35" t="s">
        <v>20</v>
      </c>
      <c r="C12" s="36"/>
      <c r="D12" s="36"/>
      <c r="E12" s="36"/>
      <c r="F12" s="37"/>
      <c r="G12" s="37"/>
      <c r="H12" s="38"/>
      <c r="I12" s="36"/>
      <c r="J12" s="36"/>
      <c r="K12" s="36"/>
      <c r="L12" s="39"/>
      <c r="M12" s="46"/>
      <c r="N12" s="47"/>
      <c r="O12" s="60"/>
      <c r="P12" s="61"/>
      <c r="Q12" s="61"/>
      <c r="R12" s="62"/>
    </row>
    <row r="13" s="4" customFormat="1" ht="60" customHeight="1" spans="1:18">
      <c r="A13" s="56" t="s">
        <v>21</v>
      </c>
      <c r="B13" s="35" t="s">
        <v>22</v>
      </c>
      <c r="C13" s="36"/>
      <c r="D13" s="36"/>
      <c r="E13" s="36"/>
      <c r="F13" s="37"/>
      <c r="G13" s="37"/>
      <c r="H13" s="38"/>
      <c r="I13" s="36"/>
      <c r="J13" s="36"/>
      <c r="K13" s="36"/>
      <c r="L13" s="39"/>
      <c r="M13" s="46"/>
      <c r="N13" s="47"/>
      <c r="O13" s="60"/>
      <c r="P13" s="61"/>
      <c r="Q13" s="61"/>
      <c r="R13" s="62"/>
    </row>
    <row r="14" s="4" customFormat="1" ht="60" customHeight="1" spans="1:18">
      <c r="A14" s="56" t="s">
        <v>23</v>
      </c>
      <c r="B14" s="35">
        <v>256268592</v>
      </c>
      <c r="C14" s="36"/>
      <c r="D14" s="36"/>
      <c r="E14" s="36"/>
      <c r="F14" s="37"/>
      <c r="G14" s="37"/>
      <c r="H14" s="38"/>
      <c r="I14" s="36"/>
      <c r="J14" s="36"/>
      <c r="K14" s="36"/>
      <c r="L14" s="39"/>
      <c r="M14" s="46"/>
      <c r="N14" s="47"/>
      <c r="O14" s="60"/>
      <c r="P14" s="61"/>
      <c r="Q14" s="61"/>
      <c r="R14" s="62"/>
    </row>
    <row r="15" s="5" customFormat="1" ht="70" customHeight="1" spans="1:18">
      <c r="A15" s="63" t="s">
        <v>24</v>
      </c>
      <c r="B15" s="64" t="s">
        <v>25</v>
      </c>
      <c r="C15" s="64" t="s">
        <v>26</v>
      </c>
      <c r="D15" s="64" t="s">
        <v>27</v>
      </c>
      <c r="E15" s="65" t="s">
        <v>28</v>
      </c>
      <c r="F15" s="66" t="s">
        <v>29</v>
      </c>
      <c r="G15" s="66"/>
      <c r="H15" s="67" t="s">
        <v>30</v>
      </c>
      <c r="I15" s="66" t="s">
        <v>31</v>
      </c>
      <c r="J15" s="66" t="s">
        <v>32</v>
      </c>
      <c r="K15" s="68" t="s">
        <v>33</v>
      </c>
      <c r="L15" s="67"/>
      <c r="M15" s="69" t="s">
        <v>34</v>
      </c>
      <c r="N15" s="70" t="s">
        <v>35</v>
      </c>
      <c r="O15" s="71" t="s">
        <v>36</v>
      </c>
      <c r="P15" s="71" t="s">
        <v>37</v>
      </c>
      <c r="Q15" s="72" t="s">
        <v>38</v>
      </c>
      <c r="R15" s="73" t="s">
        <v>39</v>
      </c>
    </row>
    <row r="16" s="5" customFormat="1" ht="70" customHeight="1" spans="1:18">
      <c r="A16" s="74"/>
      <c r="B16" s="75"/>
      <c r="C16" s="75"/>
      <c r="D16" s="75"/>
      <c r="E16" s="66"/>
      <c r="F16" s="76" t="s">
        <v>40</v>
      </c>
      <c r="G16" s="76"/>
      <c r="H16" s="77" t="s">
        <v>40</v>
      </c>
      <c r="I16" s="76"/>
      <c r="J16" s="76" t="s">
        <v>41</v>
      </c>
      <c r="K16" s="78" t="s">
        <v>42</v>
      </c>
      <c r="L16" s="77" t="s">
        <v>43</v>
      </c>
      <c r="M16" s="79" t="s">
        <v>44</v>
      </c>
      <c r="N16" s="80" t="s">
        <v>45</v>
      </c>
      <c r="O16" s="67"/>
      <c r="P16" s="67"/>
      <c r="Q16" s="69"/>
      <c r="R16" s="81"/>
    </row>
    <row r="17" s="6" customFormat="1" ht="60" customHeight="1" spans="1:18">
      <c r="A17" s="82" t="s">
        <v>46</v>
      </c>
      <c r="B17" s="83"/>
      <c r="C17" s="84"/>
      <c r="D17" s="84"/>
      <c r="E17" s="84"/>
      <c r="F17" s="84"/>
      <c r="G17" s="84"/>
      <c r="H17" s="85"/>
      <c r="I17" s="84"/>
      <c r="J17" s="84"/>
      <c r="K17" s="84"/>
      <c r="L17" s="84"/>
      <c r="M17" s="84"/>
      <c r="N17" s="84"/>
      <c r="O17" s="85"/>
      <c r="P17" s="85"/>
      <c r="Q17" s="84"/>
      <c r="R17" s="86"/>
    </row>
    <row r="18" s="7" customFormat="1" ht="400" customHeight="1" spans="1:18">
      <c r="A18" s="87">
        <v>1</v>
      </c>
      <c r="B18" s="88" t="s">
        <v>47</v>
      </c>
      <c r="C18" s="89" t="s">
        <v>48</v>
      </c>
      <c r="D18" s="90">
        <v>304</v>
      </c>
      <c r="E18" s="91" t="s">
        <v>49</v>
      </c>
      <c r="F18" s="92">
        <v>20</v>
      </c>
      <c r="G18" s="92">
        <v>40</v>
      </c>
      <c r="H18" s="93">
        <v>1.2</v>
      </c>
      <c r="I18" s="94" t="s">
        <v>50</v>
      </c>
      <c r="J18" s="92">
        <v>6</v>
      </c>
      <c r="K18" s="95">
        <f>L18/J18</f>
        <v>35</v>
      </c>
      <c r="L18" s="96">
        <v>210</v>
      </c>
      <c r="M18" s="97">
        <v>2.35</v>
      </c>
      <c r="N18" s="98">
        <f>M18*L18</f>
        <v>493.5</v>
      </c>
      <c r="O18" s="99">
        <v>1.096</v>
      </c>
      <c r="P18" s="100">
        <f>O18*L18</f>
        <v>230.16</v>
      </c>
      <c r="Q18" s="101">
        <v>73066100</v>
      </c>
      <c r="R18" s="102"/>
    </row>
    <row r="19" s="7" customFormat="1" ht="400" customHeight="1" spans="1:18">
      <c r="A19" s="103">
        <v>2</v>
      </c>
      <c r="B19" s="104" t="s">
        <v>51</v>
      </c>
      <c r="C19" s="89" t="s">
        <v>48</v>
      </c>
      <c r="D19" s="90">
        <v>304</v>
      </c>
      <c r="E19" s="105" t="s">
        <v>52</v>
      </c>
      <c r="F19" s="92">
        <v>20</v>
      </c>
      <c r="G19" s="92">
        <v>50</v>
      </c>
      <c r="H19" s="106">
        <v>1.2</v>
      </c>
      <c r="I19" s="104" t="s">
        <v>50</v>
      </c>
      <c r="J19" s="104">
        <v>6</v>
      </c>
      <c r="K19" s="95">
        <f t="shared" ref="K19:K47" si="0">L19/J19</f>
        <v>35</v>
      </c>
      <c r="L19" s="107">
        <v>210</v>
      </c>
      <c r="M19" s="108">
        <v>2.75</v>
      </c>
      <c r="N19" s="109">
        <f t="shared" ref="N19:N45" si="1">M19*L19</f>
        <v>577.5</v>
      </c>
      <c r="O19" s="110">
        <v>1.2866</v>
      </c>
      <c r="P19" s="100">
        <f t="shared" ref="P19:P45" si="2">O19*L19</f>
        <v>270.186</v>
      </c>
      <c r="Q19" s="111">
        <v>73066100</v>
      </c>
      <c r="R19" s="112"/>
    </row>
    <row r="20" s="7" customFormat="1" ht="400" customHeight="1" spans="1:18">
      <c r="A20" s="103">
        <v>3</v>
      </c>
      <c r="B20" s="104" t="s">
        <v>53</v>
      </c>
      <c r="C20" s="89" t="s">
        <v>48</v>
      </c>
      <c r="D20" s="90">
        <v>304</v>
      </c>
      <c r="E20" s="105" t="s">
        <v>54</v>
      </c>
      <c r="F20" s="92">
        <v>30</v>
      </c>
      <c r="G20" s="92">
        <v>50</v>
      </c>
      <c r="H20" s="106">
        <v>1.2</v>
      </c>
      <c r="I20" s="104" t="s">
        <v>50</v>
      </c>
      <c r="J20" s="104">
        <v>6</v>
      </c>
      <c r="K20" s="95">
        <f t="shared" si="0"/>
        <v>35</v>
      </c>
      <c r="L20" s="107">
        <v>210</v>
      </c>
      <c r="M20" s="108">
        <v>3.14</v>
      </c>
      <c r="N20" s="109">
        <f t="shared" si="1"/>
        <v>659.4</v>
      </c>
      <c r="O20" s="110">
        <v>1.4769</v>
      </c>
      <c r="P20" s="100">
        <f t="shared" si="2"/>
        <v>310.149</v>
      </c>
      <c r="Q20" s="111">
        <v>73066100</v>
      </c>
      <c r="R20" s="112"/>
    </row>
    <row r="21" s="7" customFormat="1" ht="400" customHeight="1" spans="1:18">
      <c r="A21" s="103">
        <v>4</v>
      </c>
      <c r="B21" s="104" t="s">
        <v>55</v>
      </c>
      <c r="C21" s="89" t="s">
        <v>48</v>
      </c>
      <c r="D21" s="90">
        <v>304</v>
      </c>
      <c r="E21" s="105" t="s">
        <v>56</v>
      </c>
      <c r="F21" s="92">
        <v>10</v>
      </c>
      <c r="G21" s="92">
        <v>20</v>
      </c>
      <c r="H21" s="106">
        <v>1.5</v>
      </c>
      <c r="I21" s="104" t="s">
        <v>57</v>
      </c>
      <c r="J21" s="104">
        <v>6</v>
      </c>
      <c r="K21" s="95">
        <f t="shared" si="0"/>
        <v>104</v>
      </c>
      <c r="L21" s="107">
        <v>624</v>
      </c>
      <c r="M21" s="108">
        <v>1.4</v>
      </c>
      <c r="N21" s="109">
        <f t="shared" si="1"/>
        <v>873.6</v>
      </c>
      <c r="O21" s="110">
        <v>0.64233</v>
      </c>
      <c r="P21" s="100">
        <f t="shared" si="2"/>
        <v>400.81392</v>
      </c>
      <c r="Q21" s="111">
        <v>73066100</v>
      </c>
      <c r="R21" s="112"/>
    </row>
    <row r="22" s="7" customFormat="1" ht="400" customHeight="1" spans="1:18">
      <c r="A22" s="103">
        <v>5</v>
      </c>
      <c r="B22" s="104" t="s">
        <v>58</v>
      </c>
      <c r="C22" s="89" t="s">
        <v>48</v>
      </c>
      <c r="D22" s="90">
        <v>304</v>
      </c>
      <c r="E22" s="105" t="s">
        <v>59</v>
      </c>
      <c r="F22" s="92">
        <v>10</v>
      </c>
      <c r="G22" s="92">
        <v>30</v>
      </c>
      <c r="H22" s="106">
        <v>1.5</v>
      </c>
      <c r="I22" s="104" t="s">
        <v>57</v>
      </c>
      <c r="J22" s="104">
        <v>6</v>
      </c>
      <c r="K22" s="95">
        <f t="shared" si="0"/>
        <v>66</v>
      </c>
      <c r="L22" s="107">
        <v>396</v>
      </c>
      <c r="M22" s="108">
        <v>1.9</v>
      </c>
      <c r="N22" s="109">
        <f t="shared" si="1"/>
        <v>752.4</v>
      </c>
      <c r="O22" s="110">
        <v>0.88023</v>
      </c>
      <c r="P22" s="100">
        <f t="shared" si="2"/>
        <v>348.57108</v>
      </c>
      <c r="Q22" s="111">
        <v>73066100</v>
      </c>
      <c r="R22" s="112"/>
    </row>
    <row r="23" s="7" customFormat="1" ht="400" customHeight="1" spans="1:18">
      <c r="A23" s="103">
        <v>6</v>
      </c>
      <c r="B23" s="104" t="s">
        <v>60</v>
      </c>
      <c r="C23" s="89" t="s">
        <v>48</v>
      </c>
      <c r="D23" s="90">
        <v>304</v>
      </c>
      <c r="E23" s="105" t="s">
        <v>61</v>
      </c>
      <c r="F23" s="92">
        <v>20</v>
      </c>
      <c r="G23" s="92">
        <v>40</v>
      </c>
      <c r="H23" s="106">
        <v>1.5</v>
      </c>
      <c r="I23" s="104" t="s">
        <v>57</v>
      </c>
      <c r="J23" s="104">
        <v>6</v>
      </c>
      <c r="K23" s="95">
        <f t="shared" si="0"/>
        <v>84</v>
      </c>
      <c r="L23" s="107">
        <v>504</v>
      </c>
      <c r="M23" s="108">
        <v>2.91</v>
      </c>
      <c r="N23" s="109">
        <f t="shared" si="1"/>
        <v>1466.64</v>
      </c>
      <c r="O23" s="110">
        <v>1.35603</v>
      </c>
      <c r="P23" s="100">
        <f t="shared" si="2"/>
        <v>683.43912</v>
      </c>
      <c r="Q23" s="111">
        <v>73066100</v>
      </c>
      <c r="R23" s="112"/>
    </row>
    <row r="24" s="7" customFormat="1" ht="400" customHeight="1" spans="1:18">
      <c r="A24" s="103">
        <v>7</v>
      </c>
      <c r="B24" s="104" t="s">
        <v>62</v>
      </c>
      <c r="C24" s="89" t="s">
        <v>48</v>
      </c>
      <c r="D24" s="90">
        <v>304</v>
      </c>
      <c r="E24" s="105" t="s">
        <v>63</v>
      </c>
      <c r="F24" s="92">
        <v>20</v>
      </c>
      <c r="G24" s="92">
        <v>50</v>
      </c>
      <c r="H24" s="106">
        <v>1.5</v>
      </c>
      <c r="I24" s="104" t="s">
        <v>57</v>
      </c>
      <c r="J24" s="104">
        <v>6</v>
      </c>
      <c r="K24" s="95">
        <f t="shared" si="0"/>
        <v>50</v>
      </c>
      <c r="L24" s="107">
        <v>300</v>
      </c>
      <c r="M24" s="108">
        <v>3.41</v>
      </c>
      <c r="N24" s="109">
        <f t="shared" si="1"/>
        <v>1023</v>
      </c>
      <c r="O24" s="110">
        <v>1.59393</v>
      </c>
      <c r="P24" s="100">
        <f t="shared" si="2"/>
        <v>478.179</v>
      </c>
      <c r="Q24" s="111">
        <v>73066100</v>
      </c>
      <c r="R24" s="112"/>
    </row>
    <row r="25" s="7" customFormat="1" ht="400" customHeight="1" spans="1:18">
      <c r="A25" s="103">
        <v>8</v>
      </c>
      <c r="B25" s="104" t="s">
        <v>64</v>
      </c>
      <c r="C25" s="89" t="s">
        <v>48</v>
      </c>
      <c r="D25" s="90">
        <v>304</v>
      </c>
      <c r="E25" s="105" t="s">
        <v>65</v>
      </c>
      <c r="F25" s="92">
        <v>30</v>
      </c>
      <c r="G25" s="92">
        <v>50</v>
      </c>
      <c r="H25" s="106">
        <v>1.5</v>
      </c>
      <c r="I25" s="104" t="s">
        <v>57</v>
      </c>
      <c r="J25" s="104">
        <v>6</v>
      </c>
      <c r="K25" s="95">
        <f t="shared" si="0"/>
        <v>66</v>
      </c>
      <c r="L25" s="107">
        <v>396</v>
      </c>
      <c r="M25" s="108">
        <v>3.91</v>
      </c>
      <c r="N25" s="109">
        <f t="shared" si="1"/>
        <v>1548.36</v>
      </c>
      <c r="O25" s="110">
        <v>1.83183</v>
      </c>
      <c r="P25" s="100">
        <f t="shared" si="2"/>
        <v>725.40468</v>
      </c>
      <c r="Q25" s="111">
        <v>73066100</v>
      </c>
      <c r="R25" s="112"/>
    </row>
    <row r="26" s="7" customFormat="1" ht="400" customHeight="1" spans="1:18">
      <c r="A26" s="103">
        <v>9</v>
      </c>
      <c r="B26" s="104" t="s">
        <v>66</v>
      </c>
      <c r="C26" s="89" t="s">
        <v>48</v>
      </c>
      <c r="D26" s="90">
        <v>304</v>
      </c>
      <c r="E26" s="105" t="s">
        <v>67</v>
      </c>
      <c r="F26" s="92">
        <v>40</v>
      </c>
      <c r="G26" s="92">
        <v>60</v>
      </c>
      <c r="H26" s="106">
        <v>1.5</v>
      </c>
      <c r="I26" s="104" t="s">
        <v>57</v>
      </c>
      <c r="J26" s="104">
        <v>6</v>
      </c>
      <c r="K26" s="95">
        <f t="shared" si="0"/>
        <v>35</v>
      </c>
      <c r="L26" s="107">
        <v>210</v>
      </c>
      <c r="M26" s="108">
        <v>4.92</v>
      </c>
      <c r="N26" s="109">
        <f t="shared" si="1"/>
        <v>1033.2</v>
      </c>
      <c r="O26" s="110">
        <v>2.30763</v>
      </c>
      <c r="P26" s="100">
        <f t="shared" si="2"/>
        <v>484.6023</v>
      </c>
      <c r="Q26" s="111">
        <v>73066100</v>
      </c>
      <c r="R26" s="112"/>
    </row>
    <row r="27" s="7" customFormat="1" ht="400" customHeight="1" spans="1:18">
      <c r="A27" s="103">
        <v>10</v>
      </c>
      <c r="B27" s="104" t="s">
        <v>68</v>
      </c>
      <c r="C27" s="89" t="s">
        <v>48</v>
      </c>
      <c r="D27" s="90">
        <v>304</v>
      </c>
      <c r="E27" s="105" t="s">
        <v>69</v>
      </c>
      <c r="F27" s="92">
        <v>50</v>
      </c>
      <c r="G27" s="92">
        <v>100</v>
      </c>
      <c r="H27" s="106">
        <v>1.5</v>
      </c>
      <c r="I27" s="104" t="s">
        <v>57</v>
      </c>
      <c r="J27" s="104">
        <v>6</v>
      </c>
      <c r="K27" s="95">
        <f t="shared" si="0"/>
        <v>20</v>
      </c>
      <c r="L27" s="107">
        <v>120</v>
      </c>
      <c r="M27" s="108">
        <v>7.43</v>
      </c>
      <c r="N27" s="109">
        <f t="shared" si="1"/>
        <v>891.6</v>
      </c>
      <c r="O27" s="110">
        <v>3.49713</v>
      </c>
      <c r="P27" s="100">
        <f t="shared" si="2"/>
        <v>419.6556</v>
      </c>
      <c r="Q27" s="111">
        <v>73066100</v>
      </c>
      <c r="R27" s="112"/>
    </row>
    <row r="28" s="7" customFormat="1" ht="400" customHeight="1" spans="1:18">
      <c r="A28" s="103">
        <v>11</v>
      </c>
      <c r="B28" s="104" t="s">
        <v>70</v>
      </c>
      <c r="C28" s="89" t="s">
        <v>48</v>
      </c>
      <c r="D28" s="90">
        <v>304</v>
      </c>
      <c r="E28" s="105" t="s">
        <v>71</v>
      </c>
      <c r="F28" s="92">
        <v>40</v>
      </c>
      <c r="G28" s="92">
        <v>60</v>
      </c>
      <c r="H28" s="106">
        <v>2</v>
      </c>
      <c r="I28" s="104" t="s">
        <v>72</v>
      </c>
      <c r="J28" s="104">
        <v>6</v>
      </c>
      <c r="K28" s="95">
        <f t="shared" si="0"/>
        <v>50</v>
      </c>
      <c r="L28" s="107">
        <v>300</v>
      </c>
      <c r="M28" s="108">
        <v>6.51</v>
      </c>
      <c r="N28" s="109">
        <f t="shared" si="1"/>
        <v>1953</v>
      </c>
      <c r="O28" s="110">
        <v>3.0451</v>
      </c>
      <c r="P28" s="100">
        <f t="shared" si="2"/>
        <v>913.53</v>
      </c>
      <c r="Q28" s="111">
        <v>73066100</v>
      </c>
      <c r="R28" s="112"/>
    </row>
    <row r="29" s="7" customFormat="1" ht="400" customHeight="1" spans="1:18">
      <c r="A29" s="103">
        <v>12</v>
      </c>
      <c r="B29" s="104" t="s">
        <v>73</v>
      </c>
      <c r="C29" s="89" t="s">
        <v>48</v>
      </c>
      <c r="D29" s="90">
        <v>304</v>
      </c>
      <c r="E29" s="105" t="s">
        <v>74</v>
      </c>
      <c r="F29" s="92">
        <v>50</v>
      </c>
      <c r="G29" s="92">
        <v>100</v>
      </c>
      <c r="H29" s="106">
        <v>2</v>
      </c>
      <c r="I29" s="104" t="s">
        <v>72</v>
      </c>
      <c r="J29" s="104">
        <v>6</v>
      </c>
      <c r="K29" s="95">
        <f t="shared" si="0"/>
        <v>35</v>
      </c>
      <c r="L29" s="107">
        <v>210</v>
      </c>
      <c r="M29" s="108">
        <v>9.86</v>
      </c>
      <c r="N29" s="109">
        <f t="shared" si="1"/>
        <v>2070.6</v>
      </c>
      <c r="O29" s="110">
        <v>4.6311</v>
      </c>
      <c r="P29" s="100">
        <f t="shared" si="2"/>
        <v>972.531</v>
      </c>
      <c r="Q29" s="111">
        <v>73066100</v>
      </c>
      <c r="R29" s="112"/>
    </row>
    <row r="30" s="7" customFormat="1" ht="400" customHeight="1" spans="1:18">
      <c r="A30" s="103">
        <v>13</v>
      </c>
      <c r="B30" s="104" t="s">
        <v>75</v>
      </c>
      <c r="C30" s="89" t="s">
        <v>48</v>
      </c>
      <c r="D30" s="90">
        <v>304</v>
      </c>
      <c r="E30" s="105" t="s">
        <v>76</v>
      </c>
      <c r="F30" s="92">
        <v>30</v>
      </c>
      <c r="G30" s="92">
        <v>60</v>
      </c>
      <c r="H30" s="106">
        <v>1.5</v>
      </c>
      <c r="I30" s="104" t="s">
        <v>72</v>
      </c>
      <c r="J30" s="104">
        <v>6</v>
      </c>
      <c r="K30" s="95">
        <f t="shared" si="0"/>
        <v>35</v>
      </c>
      <c r="L30" s="107">
        <v>210</v>
      </c>
      <c r="M30" s="108">
        <v>4.41</v>
      </c>
      <c r="N30" s="109">
        <f t="shared" si="1"/>
        <v>926.1</v>
      </c>
      <c r="O30" s="110">
        <v>2.06</v>
      </c>
      <c r="P30" s="100">
        <f t="shared" si="2"/>
        <v>432.6</v>
      </c>
      <c r="Q30" s="111">
        <v>73066100</v>
      </c>
      <c r="R30" s="112"/>
    </row>
    <row r="31" s="7" customFormat="1" ht="400" customHeight="1" spans="1:18">
      <c r="A31" s="103">
        <v>14</v>
      </c>
      <c r="B31" s="104" t="s">
        <v>53</v>
      </c>
      <c r="C31" s="89" t="s">
        <v>48</v>
      </c>
      <c r="D31" s="90">
        <v>304</v>
      </c>
      <c r="E31" s="105" t="s">
        <v>54</v>
      </c>
      <c r="F31" s="92">
        <v>30</v>
      </c>
      <c r="G31" s="92">
        <v>50</v>
      </c>
      <c r="H31" s="106">
        <v>1.2</v>
      </c>
      <c r="I31" s="104" t="s">
        <v>72</v>
      </c>
      <c r="J31" s="104">
        <v>6</v>
      </c>
      <c r="K31" s="95">
        <f t="shared" si="0"/>
        <v>35</v>
      </c>
      <c r="L31" s="107">
        <v>210</v>
      </c>
      <c r="M31" s="108">
        <v>3.14</v>
      </c>
      <c r="N31" s="109">
        <f t="shared" si="1"/>
        <v>659.4</v>
      </c>
      <c r="O31" s="110">
        <v>1.477</v>
      </c>
      <c r="P31" s="100">
        <f t="shared" si="2"/>
        <v>310.17</v>
      </c>
      <c r="Q31" s="111">
        <v>73066100</v>
      </c>
      <c r="R31" s="112"/>
    </row>
    <row r="32" s="7" customFormat="1" ht="400" customHeight="1" spans="1:18">
      <c r="A32" s="103">
        <v>15</v>
      </c>
      <c r="B32" s="104" t="s">
        <v>77</v>
      </c>
      <c r="C32" s="89" t="s">
        <v>48</v>
      </c>
      <c r="D32" s="90">
        <v>304</v>
      </c>
      <c r="E32" s="105" t="s">
        <v>78</v>
      </c>
      <c r="F32" s="92">
        <v>20</v>
      </c>
      <c r="G32" s="92">
        <v>20</v>
      </c>
      <c r="H32" s="106">
        <v>1.5</v>
      </c>
      <c r="I32" s="104" t="s">
        <v>79</v>
      </c>
      <c r="J32" s="104">
        <v>6</v>
      </c>
      <c r="K32" s="95">
        <f t="shared" si="0"/>
        <v>262</v>
      </c>
      <c r="L32" s="107">
        <v>1572</v>
      </c>
      <c r="M32" s="108">
        <v>1.9</v>
      </c>
      <c r="N32" s="109">
        <f t="shared" si="1"/>
        <v>2986.8</v>
      </c>
      <c r="O32" s="110">
        <v>0.87135</v>
      </c>
      <c r="P32" s="100">
        <f t="shared" si="2"/>
        <v>1369.7622</v>
      </c>
      <c r="Q32" s="111">
        <v>73066100</v>
      </c>
      <c r="R32" s="112"/>
    </row>
    <row r="33" s="7" customFormat="1" ht="400" customHeight="1" spans="1:18">
      <c r="A33" s="103">
        <v>16</v>
      </c>
      <c r="B33" s="104" t="s">
        <v>80</v>
      </c>
      <c r="C33" s="89" t="s">
        <v>48</v>
      </c>
      <c r="D33" s="90">
        <v>304</v>
      </c>
      <c r="E33" s="105" t="s">
        <v>81</v>
      </c>
      <c r="F33" s="92">
        <v>30</v>
      </c>
      <c r="G33" s="92">
        <v>30</v>
      </c>
      <c r="H33" s="106">
        <v>1.5</v>
      </c>
      <c r="I33" s="104" t="s">
        <v>79</v>
      </c>
      <c r="J33" s="104">
        <v>6</v>
      </c>
      <c r="K33" s="95">
        <f t="shared" si="0"/>
        <v>262</v>
      </c>
      <c r="L33" s="107">
        <v>1572</v>
      </c>
      <c r="M33" s="108">
        <v>2.91</v>
      </c>
      <c r="N33" s="109">
        <f t="shared" si="1"/>
        <v>4574.52</v>
      </c>
      <c r="O33" s="110">
        <v>1.34235</v>
      </c>
      <c r="P33" s="100">
        <f t="shared" si="2"/>
        <v>2110.1742</v>
      </c>
      <c r="Q33" s="111">
        <v>73066100</v>
      </c>
      <c r="R33" s="112"/>
    </row>
    <row r="34" s="7" customFormat="1" ht="400" customHeight="1" spans="1:18">
      <c r="A34" s="113">
        <v>17</v>
      </c>
      <c r="B34" s="104" t="s">
        <v>82</v>
      </c>
      <c r="C34" s="89" t="s">
        <v>48</v>
      </c>
      <c r="D34" s="90">
        <v>304</v>
      </c>
      <c r="E34" s="105" t="s">
        <v>83</v>
      </c>
      <c r="F34" s="92">
        <v>40</v>
      </c>
      <c r="G34" s="92">
        <v>40</v>
      </c>
      <c r="H34" s="114">
        <v>1.5</v>
      </c>
      <c r="I34" s="104" t="s">
        <v>79</v>
      </c>
      <c r="J34" s="115">
        <v>6</v>
      </c>
      <c r="K34" s="95">
        <f t="shared" si="0"/>
        <v>534</v>
      </c>
      <c r="L34" s="107">
        <v>3204</v>
      </c>
      <c r="M34" s="116">
        <v>3.91</v>
      </c>
      <c r="N34" s="109">
        <f t="shared" si="1"/>
        <v>12527.64</v>
      </c>
      <c r="O34" s="110">
        <v>1.81335</v>
      </c>
      <c r="P34" s="100">
        <f t="shared" si="2"/>
        <v>5809.9734</v>
      </c>
      <c r="Q34" s="111">
        <v>73066100</v>
      </c>
      <c r="R34" s="117"/>
    </row>
    <row r="35" s="7" customFormat="1" ht="400" customHeight="1" spans="1:18">
      <c r="A35" s="118">
        <v>18</v>
      </c>
      <c r="B35" s="104" t="s">
        <v>84</v>
      </c>
      <c r="C35" s="89" t="s">
        <v>48</v>
      </c>
      <c r="D35" s="90">
        <v>304</v>
      </c>
      <c r="E35" s="105" t="s">
        <v>85</v>
      </c>
      <c r="F35" s="92">
        <v>50</v>
      </c>
      <c r="G35" s="92">
        <v>50</v>
      </c>
      <c r="H35" s="119">
        <v>1.5</v>
      </c>
      <c r="I35" s="104" t="s">
        <v>79</v>
      </c>
      <c r="J35" s="120">
        <v>6</v>
      </c>
      <c r="K35" s="95">
        <f t="shared" si="0"/>
        <v>262</v>
      </c>
      <c r="L35" s="107">
        <v>1572</v>
      </c>
      <c r="M35" s="121">
        <v>4.92</v>
      </c>
      <c r="N35" s="109">
        <f t="shared" si="1"/>
        <v>7734.24</v>
      </c>
      <c r="O35" s="110">
        <v>2.28435</v>
      </c>
      <c r="P35" s="100">
        <f t="shared" si="2"/>
        <v>3590.9982</v>
      </c>
      <c r="Q35" s="111">
        <v>73066100</v>
      </c>
      <c r="R35" s="122"/>
    </row>
    <row r="36" s="7" customFormat="1" ht="400" customHeight="1" spans="1:18">
      <c r="A36" s="103">
        <v>19</v>
      </c>
      <c r="B36" s="104" t="s">
        <v>86</v>
      </c>
      <c r="C36" s="89" t="s">
        <v>48</v>
      </c>
      <c r="D36" s="90">
        <v>304</v>
      </c>
      <c r="E36" s="105" t="s">
        <v>87</v>
      </c>
      <c r="F36" s="92">
        <v>40</v>
      </c>
      <c r="G36" s="92">
        <v>40</v>
      </c>
      <c r="H36" s="106">
        <v>2</v>
      </c>
      <c r="I36" s="104" t="s">
        <v>88</v>
      </c>
      <c r="J36" s="104">
        <v>6</v>
      </c>
      <c r="K36" s="95">
        <f t="shared" si="0"/>
        <v>50</v>
      </c>
      <c r="L36" s="107">
        <v>300</v>
      </c>
      <c r="M36" s="108">
        <v>5.17</v>
      </c>
      <c r="N36" s="109">
        <f t="shared" si="1"/>
        <v>1551</v>
      </c>
      <c r="O36" s="110">
        <v>2.3864</v>
      </c>
      <c r="P36" s="100">
        <f t="shared" si="2"/>
        <v>715.92</v>
      </c>
      <c r="Q36" s="111">
        <v>73066100</v>
      </c>
      <c r="R36" s="123"/>
    </row>
    <row r="37" s="7" customFormat="1" ht="400" customHeight="1" spans="1:18">
      <c r="A37" s="103">
        <v>20</v>
      </c>
      <c r="B37" s="104" t="s">
        <v>89</v>
      </c>
      <c r="C37" s="89" t="s">
        <v>48</v>
      </c>
      <c r="D37" s="90">
        <v>304</v>
      </c>
      <c r="E37" s="105" t="s">
        <v>90</v>
      </c>
      <c r="F37" s="92">
        <v>20</v>
      </c>
      <c r="G37" s="92">
        <v>20</v>
      </c>
      <c r="H37" s="106">
        <v>1.2</v>
      </c>
      <c r="I37" s="104" t="s">
        <v>91</v>
      </c>
      <c r="J37" s="104">
        <v>6</v>
      </c>
      <c r="K37" s="95">
        <f t="shared" si="0"/>
        <v>50</v>
      </c>
      <c r="L37" s="107">
        <v>300</v>
      </c>
      <c r="M37" s="108">
        <v>1.54</v>
      </c>
      <c r="N37" s="109">
        <f t="shared" si="1"/>
        <v>462</v>
      </c>
      <c r="O37" s="110">
        <v>0.7084</v>
      </c>
      <c r="P37" s="100">
        <f t="shared" si="2"/>
        <v>212.52</v>
      </c>
      <c r="Q37" s="111">
        <v>73066100</v>
      </c>
      <c r="R37" s="123"/>
    </row>
    <row r="38" s="7" customFormat="1" ht="400" customHeight="1" spans="1:18">
      <c r="A38" s="103">
        <v>21</v>
      </c>
      <c r="B38" s="104" t="s">
        <v>92</v>
      </c>
      <c r="C38" s="89" t="s">
        <v>48</v>
      </c>
      <c r="D38" s="90">
        <v>304</v>
      </c>
      <c r="E38" s="105" t="s">
        <v>93</v>
      </c>
      <c r="F38" s="92">
        <v>30</v>
      </c>
      <c r="G38" s="92">
        <v>30</v>
      </c>
      <c r="H38" s="106">
        <v>1.2</v>
      </c>
      <c r="I38" s="104" t="s">
        <v>91</v>
      </c>
      <c r="J38" s="104">
        <v>6</v>
      </c>
      <c r="K38" s="95">
        <f t="shared" si="0"/>
        <v>50</v>
      </c>
      <c r="L38" s="107">
        <v>300</v>
      </c>
      <c r="M38" s="108">
        <v>2.35</v>
      </c>
      <c r="N38" s="109">
        <f t="shared" si="1"/>
        <v>705</v>
      </c>
      <c r="O38" s="110">
        <v>1.0852</v>
      </c>
      <c r="P38" s="100">
        <f t="shared" si="2"/>
        <v>325.56</v>
      </c>
      <c r="Q38" s="111">
        <v>73066100</v>
      </c>
      <c r="R38" s="123"/>
    </row>
    <row r="39" s="7" customFormat="1" ht="400" customHeight="1" spans="1:18">
      <c r="A39" s="103">
        <v>22</v>
      </c>
      <c r="B39" s="104" t="s">
        <v>94</v>
      </c>
      <c r="C39" s="89" t="s">
        <v>48</v>
      </c>
      <c r="D39" s="90">
        <v>304</v>
      </c>
      <c r="E39" s="105" t="s">
        <v>95</v>
      </c>
      <c r="F39" s="92">
        <v>40</v>
      </c>
      <c r="G39" s="92">
        <v>40</v>
      </c>
      <c r="H39" s="106">
        <v>1.2</v>
      </c>
      <c r="I39" s="104" t="s">
        <v>91</v>
      </c>
      <c r="J39" s="104">
        <v>6</v>
      </c>
      <c r="K39" s="95">
        <f t="shared" si="0"/>
        <v>50</v>
      </c>
      <c r="L39" s="107">
        <v>300</v>
      </c>
      <c r="M39" s="108">
        <v>3.14</v>
      </c>
      <c r="N39" s="109">
        <f t="shared" si="1"/>
        <v>942</v>
      </c>
      <c r="O39" s="110">
        <v>1.462</v>
      </c>
      <c r="P39" s="100">
        <f t="shared" si="2"/>
        <v>438.6</v>
      </c>
      <c r="Q39" s="111">
        <v>73066100</v>
      </c>
      <c r="R39" s="123"/>
    </row>
    <row r="40" s="7" customFormat="1" ht="400" customHeight="1" spans="1:18">
      <c r="A40" s="103">
        <v>23</v>
      </c>
      <c r="B40" s="104" t="s">
        <v>96</v>
      </c>
      <c r="C40" s="89" t="s">
        <v>48</v>
      </c>
      <c r="D40" s="90">
        <v>304</v>
      </c>
      <c r="E40" s="105" t="s">
        <v>97</v>
      </c>
      <c r="F40" s="92">
        <v>50</v>
      </c>
      <c r="G40" s="92">
        <v>50</v>
      </c>
      <c r="H40" s="106">
        <v>1.2</v>
      </c>
      <c r="I40" s="104" t="s">
        <v>91</v>
      </c>
      <c r="J40" s="104">
        <v>6</v>
      </c>
      <c r="K40" s="95">
        <f t="shared" si="0"/>
        <v>35</v>
      </c>
      <c r="L40" s="107">
        <v>210</v>
      </c>
      <c r="M40" s="108">
        <v>3.95</v>
      </c>
      <c r="N40" s="109">
        <f t="shared" si="1"/>
        <v>829.5</v>
      </c>
      <c r="O40" s="110">
        <v>1.8388</v>
      </c>
      <c r="P40" s="100">
        <f t="shared" si="2"/>
        <v>386.148</v>
      </c>
      <c r="Q40" s="111">
        <v>73066100</v>
      </c>
      <c r="R40" s="123"/>
    </row>
    <row r="41" s="7" customFormat="1" ht="400" customHeight="1" spans="1:18">
      <c r="A41" s="103">
        <v>24</v>
      </c>
      <c r="B41" s="104" t="s">
        <v>98</v>
      </c>
      <c r="C41" s="89" t="s">
        <v>48</v>
      </c>
      <c r="D41" s="90">
        <v>304</v>
      </c>
      <c r="E41" s="105" t="s">
        <v>99</v>
      </c>
      <c r="F41" s="92">
        <v>100</v>
      </c>
      <c r="G41" s="92">
        <v>100</v>
      </c>
      <c r="H41" s="106">
        <v>2</v>
      </c>
      <c r="I41" s="104" t="s">
        <v>91</v>
      </c>
      <c r="J41" s="104">
        <v>6</v>
      </c>
      <c r="K41" s="95">
        <f t="shared" si="0"/>
        <v>35</v>
      </c>
      <c r="L41" s="107">
        <v>210</v>
      </c>
      <c r="M41" s="108">
        <v>13.21</v>
      </c>
      <c r="N41" s="109">
        <f t="shared" si="1"/>
        <v>2774.1</v>
      </c>
      <c r="O41" s="110">
        <v>6.154</v>
      </c>
      <c r="P41" s="100">
        <f t="shared" si="2"/>
        <v>1292.34</v>
      </c>
      <c r="Q41" s="111">
        <v>73066100</v>
      </c>
      <c r="R41" s="123"/>
    </row>
    <row r="42" s="7" customFormat="1" ht="400" customHeight="1" spans="1:18">
      <c r="A42" s="103">
        <v>25</v>
      </c>
      <c r="B42" s="104" t="s">
        <v>100</v>
      </c>
      <c r="C42" s="89" t="s">
        <v>48</v>
      </c>
      <c r="D42" s="90">
        <v>304</v>
      </c>
      <c r="E42" s="105" t="s">
        <v>101</v>
      </c>
      <c r="F42" s="92">
        <v>60</v>
      </c>
      <c r="G42" s="92">
        <v>60</v>
      </c>
      <c r="H42" s="106">
        <v>1.5</v>
      </c>
      <c r="I42" s="104" t="s">
        <v>102</v>
      </c>
      <c r="J42" s="104">
        <v>6</v>
      </c>
      <c r="K42" s="95">
        <f t="shared" si="0"/>
        <v>60</v>
      </c>
      <c r="L42" s="107">
        <v>360</v>
      </c>
      <c r="M42" s="108">
        <v>5.93</v>
      </c>
      <c r="N42" s="109">
        <f t="shared" si="1"/>
        <v>2134.8</v>
      </c>
      <c r="O42" s="110">
        <v>2.7554</v>
      </c>
      <c r="P42" s="100">
        <f t="shared" si="2"/>
        <v>991.944</v>
      </c>
      <c r="Q42" s="111">
        <v>73066100</v>
      </c>
      <c r="R42" s="123"/>
    </row>
    <row r="43" s="7" customFormat="1" ht="400" customHeight="1" spans="1:18">
      <c r="A43" s="103">
        <v>26</v>
      </c>
      <c r="B43" s="104" t="s">
        <v>103</v>
      </c>
      <c r="C43" s="89" t="s">
        <v>48</v>
      </c>
      <c r="D43" s="90">
        <v>304</v>
      </c>
      <c r="E43" s="105" t="s">
        <v>104</v>
      </c>
      <c r="F43" s="92">
        <v>50</v>
      </c>
      <c r="G43" s="92">
        <v>50</v>
      </c>
      <c r="H43" s="106">
        <v>2</v>
      </c>
      <c r="I43" s="104" t="s">
        <v>105</v>
      </c>
      <c r="J43" s="104">
        <v>6</v>
      </c>
      <c r="K43" s="95">
        <f t="shared" si="0"/>
        <v>50</v>
      </c>
      <c r="L43" s="107">
        <v>300</v>
      </c>
      <c r="M43" s="108">
        <v>6.51</v>
      </c>
      <c r="N43" s="109">
        <f t="shared" si="1"/>
        <v>1953</v>
      </c>
      <c r="O43" s="110">
        <v>3.0144</v>
      </c>
      <c r="P43" s="100">
        <f t="shared" si="2"/>
        <v>904.32</v>
      </c>
      <c r="Q43" s="111">
        <v>73066100</v>
      </c>
      <c r="R43" s="123"/>
    </row>
    <row r="44" s="7" customFormat="1" ht="400" customHeight="1" spans="1:18">
      <c r="A44" s="103">
        <v>27</v>
      </c>
      <c r="B44" s="104" t="s">
        <v>106</v>
      </c>
      <c r="C44" s="89" t="s">
        <v>48</v>
      </c>
      <c r="D44" s="90">
        <v>304</v>
      </c>
      <c r="E44" s="105" t="s">
        <v>107</v>
      </c>
      <c r="F44" s="92">
        <v>60</v>
      </c>
      <c r="G44" s="92">
        <v>60</v>
      </c>
      <c r="H44" s="106">
        <v>1</v>
      </c>
      <c r="I44" s="104" t="s">
        <v>108</v>
      </c>
      <c r="J44" s="104">
        <v>6</v>
      </c>
      <c r="K44" s="95">
        <f t="shared" si="0"/>
        <v>60</v>
      </c>
      <c r="L44" s="107">
        <v>360</v>
      </c>
      <c r="M44" s="108">
        <v>3.97</v>
      </c>
      <c r="N44" s="109">
        <f t="shared" si="1"/>
        <v>1429.2</v>
      </c>
      <c r="O44" s="110">
        <v>3.6424</v>
      </c>
      <c r="P44" s="100">
        <f t="shared" si="2"/>
        <v>1311.264</v>
      </c>
      <c r="Q44" s="111">
        <v>73066100</v>
      </c>
      <c r="R44" s="123"/>
    </row>
    <row r="45" s="7" customFormat="1" ht="400" customHeight="1" spans="1:18">
      <c r="A45" s="103">
        <v>28</v>
      </c>
      <c r="B45" s="104" t="s">
        <v>109</v>
      </c>
      <c r="C45" s="89" t="s">
        <v>48</v>
      </c>
      <c r="D45" s="90">
        <v>304</v>
      </c>
      <c r="E45" s="105" t="s">
        <v>110</v>
      </c>
      <c r="F45" s="92">
        <v>80</v>
      </c>
      <c r="G45" s="92">
        <v>80</v>
      </c>
      <c r="H45" s="106">
        <v>2</v>
      </c>
      <c r="I45" s="104" t="s">
        <v>111</v>
      </c>
      <c r="J45" s="104">
        <v>6</v>
      </c>
      <c r="K45" s="95">
        <f t="shared" si="0"/>
        <v>50</v>
      </c>
      <c r="L45" s="107">
        <v>300</v>
      </c>
      <c r="M45" s="108">
        <v>10.52</v>
      </c>
      <c r="N45" s="109">
        <f t="shared" si="1"/>
        <v>3156</v>
      </c>
      <c r="O45" s="110">
        <v>4.8984</v>
      </c>
      <c r="P45" s="100">
        <f t="shared" si="2"/>
        <v>1469.52</v>
      </c>
      <c r="Q45" s="111">
        <v>73066100</v>
      </c>
      <c r="R45" s="123"/>
    </row>
    <row r="46" s="8" customFormat="1" ht="85" customHeight="1" spans="1:18">
      <c r="A46" s="124" t="s">
        <v>112</v>
      </c>
      <c r="B46" s="125"/>
      <c r="C46" s="125"/>
      <c r="D46" s="125"/>
      <c r="E46" s="125"/>
      <c r="F46" s="125"/>
      <c r="G46" s="125"/>
      <c r="H46" s="126"/>
      <c r="I46" s="125"/>
      <c r="J46" s="125"/>
      <c r="K46" s="95"/>
      <c r="L46" s="127">
        <f>SUM(L18:L45)</f>
        <v>14970</v>
      </c>
      <c r="M46" s="128"/>
      <c r="N46" s="128">
        <f>SUM(N18:N45)</f>
        <v>58688.1</v>
      </c>
      <c r="O46" s="129"/>
      <c r="P46" s="129">
        <f>SUM(P18:P45)</f>
        <v>27909.0357</v>
      </c>
      <c r="Q46" s="128"/>
      <c r="R46" s="130"/>
    </row>
    <row r="47" s="8" customFormat="1" ht="85" customHeight="1" spans="1:18">
      <c r="A47" s="124"/>
      <c r="B47" s="125"/>
      <c r="C47" s="125"/>
      <c r="D47" s="125"/>
      <c r="E47" s="125"/>
      <c r="F47" s="125"/>
      <c r="G47" s="125"/>
      <c r="H47" s="126"/>
      <c r="I47" s="125"/>
      <c r="J47" s="125"/>
      <c r="K47" s="95"/>
      <c r="L47" s="131"/>
      <c r="M47" s="132" t="s">
        <v>113</v>
      </c>
      <c r="N47" s="133">
        <f>N46*0.2</f>
        <v>11737.62</v>
      </c>
      <c r="O47" s="134"/>
      <c r="P47" s="134"/>
      <c r="Q47" s="135"/>
      <c r="R47" s="136"/>
    </row>
    <row r="48" s="3" customFormat="1" ht="50" customHeight="1" spans="1:18">
      <c r="A48" s="137"/>
      <c r="B48" s="138"/>
      <c r="C48" s="138"/>
      <c r="D48" s="138"/>
      <c r="E48" s="138"/>
      <c r="F48" s="139"/>
      <c r="G48" s="139"/>
      <c r="H48" s="140"/>
      <c r="I48" s="138"/>
      <c r="J48" s="138"/>
      <c r="K48" s="141"/>
      <c r="L48" s="142"/>
      <c r="M48" s="143"/>
      <c r="N48" s="143"/>
      <c r="O48" s="144"/>
      <c r="P48" s="144"/>
      <c r="Q48" s="143"/>
      <c r="R48" s="145"/>
    </row>
    <row r="49" s="9" customFormat="1" ht="55" customHeight="1" spans="1:192">
      <c r="A49" s="146" t="s">
        <v>114</v>
      </c>
      <c r="B49" s="147"/>
      <c r="C49" s="147"/>
      <c r="D49" s="147"/>
      <c r="E49" s="147"/>
      <c r="F49" s="148"/>
      <c r="G49" s="148"/>
      <c r="H49" s="149"/>
      <c r="I49" s="147"/>
      <c r="J49" s="147"/>
      <c r="K49" s="147"/>
      <c r="L49" s="147"/>
      <c r="M49" s="147"/>
      <c r="N49" s="147"/>
      <c r="O49" s="150"/>
      <c r="P49" s="150"/>
      <c r="Q49" s="147"/>
      <c r="R49" s="151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  <c r="EN49" s="152"/>
      <c r="EO49" s="152"/>
      <c r="EP49" s="152"/>
      <c r="EQ49" s="152"/>
      <c r="ER49" s="152"/>
      <c r="ES49" s="152"/>
      <c r="ET49" s="152"/>
      <c r="EU49" s="152"/>
      <c r="EV49" s="152"/>
      <c r="EW49" s="152"/>
      <c r="EX49" s="152"/>
      <c r="EY49" s="152"/>
      <c r="EZ49" s="152"/>
      <c r="FA49" s="152"/>
      <c r="FB49" s="152"/>
      <c r="FC49" s="152"/>
      <c r="FD49" s="152"/>
      <c r="FE49" s="152"/>
      <c r="FF49" s="152"/>
      <c r="FG49" s="152"/>
      <c r="FH49" s="152"/>
      <c r="FI49" s="152"/>
      <c r="FJ49" s="152"/>
      <c r="FK49" s="152"/>
      <c r="FL49" s="152"/>
      <c r="FM49" s="152"/>
      <c r="FN49" s="152"/>
      <c r="FO49" s="152"/>
      <c r="FP49" s="152"/>
      <c r="FQ49" s="152"/>
      <c r="FR49" s="152"/>
      <c r="FS49" s="152"/>
      <c r="FT49" s="152"/>
      <c r="FU49" s="152"/>
      <c r="FV49" s="152"/>
      <c r="FW49" s="152"/>
      <c r="FX49" s="152"/>
      <c r="FY49" s="152"/>
      <c r="FZ49" s="152"/>
      <c r="GA49" s="152"/>
      <c r="GB49" s="152"/>
      <c r="GC49" s="152"/>
      <c r="GD49" s="152"/>
      <c r="GE49" s="152"/>
      <c r="GF49" s="152"/>
      <c r="GG49" s="152"/>
      <c r="GH49" s="152"/>
      <c r="GI49" s="152"/>
      <c r="GJ49" s="152"/>
    </row>
    <row r="50" s="10" customFormat="1" ht="55" customHeight="1" spans="1:192">
      <c r="A50" s="153" t="s">
        <v>115</v>
      </c>
      <c r="B50" s="154"/>
      <c r="C50" s="154"/>
      <c r="D50" s="154"/>
      <c r="E50" s="154"/>
      <c r="F50" s="155" t="s">
        <v>116</v>
      </c>
      <c r="G50" s="155"/>
      <c r="H50" s="156"/>
      <c r="I50" s="155"/>
      <c r="J50" s="155"/>
      <c r="K50" s="155"/>
      <c r="L50" s="155"/>
      <c r="M50" s="155"/>
      <c r="N50" s="155"/>
      <c r="O50" s="156"/>
      <c r="P50" s="156"/>
      <c r="Q50" s="155"/>
      <c r="R50" s="157"/>
    </row>
    <row r="51" s="10" customFormat="1" ht="55" customHeight="1" spans="1:192">
      <c r="A51" s="153" t="s">
        <v>117</v>
      </c>
      <c r="B51" s="154"/>
      <c r="C51" s="154"/>
      <c r="D51" s="154"/>
      <c r="E51" s="154"/>
      <c r="F51" s="155" t="s">
        <v>118</v>
      </c>
      <c r="G51" s="155"/>
      <c r="H51" s="156"/>
      <c r="I51" s="155"/>
      <c r="J51" s="155"/>
      <c r="K51" s="155"/>
      <c r="L51" s="155"/>
      <c r="M51" s="155"/>
      <c r="N51" s="155"/>
      <c r="O51" s="156"/>
      <c r="P51" s="156"/>
      <c r="Q51" s="155"/>
      <c r="R51" s="157"/>
    </row>
    <row r="52" s="10" customFormat="1" ht="55" customHeight="1" spans="1:192">
      <c r="A52" s="153" t="s">
        <v>119</v>
      </c>
      <c r="B52" s="154"/>
      <c r="C52" s="154"/>
      <c r="D52" s="154"/>
      <c r="E52" s="154"/>
      <c r="F52" s="155" t="s">
        <v>120</v>
      </c>
      <c r="G52" s="155"/>
      <c r="H52" s="156"/>
      <c r="I52" s="155"/>
      <c r="J52" s="155"/>
      <c r="K52" s="155"/>
      <c r="L52" s="155"/>
      <c r="M52" s="155"/>
      <c r="N52" s="155"/>
      <c r="O52" s="156"/>
      <c r="P52" s="156"/>
      <c r="Q52" s="155"/>
      <c r="R52" s="157"/>
    </row>
    <row r="53" s="10" customFormat="1" ht="55" customHeight="1" spans="1:192">
      <c r="A53" s="153" t="s">
        <v>121</v>
      </c>
      <c r="B53" s="154"/>
      <c r="C53" s="154"/>
      <c r="D53" s="154"/>
      <c r="E53" s="154"/>
      <c r="F53" s="155" t="s">
        <v>122</v>
      </c>
      <c r="G53" s="155"/>
      <c r="H53" s="156"/>
      <c r="I53" s="155"/>
      <c r="J53" s="155"/>
      <c r="K53" s="155"/>
      <c r="L53" s="155"/>
      <c r="M53" s="155"/>
      <c r="N53" s="155"/>
      <c r="O53" s="156"/>
      <c r="P53" s="156"/>
      <c r="Q53" s="155"/>
      <c r="R53" s="157"/>
    </row>
    <row r="54" s="10" customFormat="1" ht="55" customHeight="1" spans="1:192">
      <c r="A54" s="153" t="s">
        <v>123</v>
      </c>
      <c r="B54" s="154"/>
      <c r="C54" s="154"/>
      <c r="D54" s="154"/>
      <c r="E54" s="154"/>
      <c r="F54" s="155" t="s">
        <v>124</v>
      </c>
      <c r="G54" s="155"/>
      <c r="H54" s="156"/>
      <c r="I54" s="155"/>
      <c r="J54" s="155"/>
      <c r="K54" s="155"/>
      <c r="L54" s="155"/>
      <c r="M54" s="155"/>
      <c r="N54" s="155"/>
      <c r="O54" s="156"/>
      <c r="P54" s="156"/>
      <c r="Q54" s="155"/>
      <c r="R54" s="157"/>
    </row>
    <row r="55" s="10" customFormat="1" ht="55" customHeight="1" spans="1:192">
      <c r="A55" s="153" t="s">
        <v>125</v>
      </c>
      <c r="B55" s="154"/>
      <c r="C55" s="154"/>
      <c r="D55" s="154"/>
      <c r="E55" s="154"/>
      <c r="F55" s="155" t="s">
        <v>126</v>
      </c>
      <c r="G55" s="155"/>
      <c r="H55" s="156"/>
      <c r="I55" s="155"/>
      <c r="J55" s="155"/>
      <c r="K55" s="155"/>
      <c r="L55" s="155"/>
      <c r="M55" s="155"/>
      <c r="N55" s="155"/>
      <c r="O55" s="156"/>
      <c r="P55" s="156"/>
      <c r="Q55" s="155"/>
      <c r="R55" s="157"/>
    </row>
    <row r="56" s="3" customFormat="1" ht="50" customHeight="1" spans="1:192">
      <c r="A56" s="158"/>
      <c r="B56" s="159"/>
      <c r="C56" s="159"/>
      <c r="D56" s="160"/>
      <c r="E56" s="161"/>
      <c r="F56" s="162"/>
      <c r="G56" s="162"/>
      <c r="H56" s="163"/>
      <c r="I56" s="164"/>
      <c r="J56" s="164"/>
      <c r="K56" s="165"/>
      <c r="L56" s="166"/>
      <c r="M56" s="164"/>
      <c r="N56" s="167"/>
      <c r="O56" s="168"/>
      <c r="P56" s="168"/>
      <c r="Q56" s="169"/>
      <c r="R56" s="170"/>
    </row>
    <row r="57" s="11" customFormat="1" ht="50" customHeight="1" spans="1:192">
      <c r="A57" s="171" t="s">
        <v>127</v>
      </c>
      <c r="B57" s="172"/>
      <c r="C57" s="172"/>
      <c r="D57" s="172"/>
      <c r="E57" s="172"/>
      <c r="F57" s="173"/>
      <c r="G57" s="173"/>
      <c r="H57" s="174"/>
      <c r="I57" s="173"/>
      <c r="J57" s="175"/>
      <c r="K57" s="172"/>
      <c r="L57" s="176"/>
      <c r="M57" s="172"/>
      <c r="N57" s="177"/>
      <c r="O57" s="178"/>
      <c r="P57" s="178"/>
      <c r="Q57" s="179"/>
      <c r="R57" s="180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</row>
    <row r="58" s="11" customFormat="1" ht="50" customHeight="1" spans="1:192">
      <c r="A58" s="181" t="s">
        <v>128</v>
      </c>
      <c r="B58" s="182"/>
      <c r="C58" s="182"/>
      <c r="D58" s="182"/>
      <c r="E58" s="182"/>
      <c r="F58" s="173"/>
      <c r="G58" s="173"/>
      <c r="H58" s="174"/>
      <c r="I58" s="173"/>
      <c r="J58" s="183"/>
      <c r="K58" s="183"/>
      <c r="L58" s="184"/>
      <c r="M58" s="182"/>
      <c r="N58" s="177"/>
      <c r="O58" s="178"/>
      <c r="P58" s="178"/>
      <c r="Q58" s="179"/>
      <c r="R58" s="180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</row>
    <row r="59" s="11" customFormat="1" ht="50" customHeight="1" spans="1:192">
      <c r="A59" s="181" t="s">
        <v>129</v>
      </c>
      <c r="B59" s="182"/>
      <c r="C59" s="182"/>
      <c r="D59" s="182"/>
      <c r="E59" s="182"/>
      <c r="F59" s="173"/>
      <c r="G59" s="173"/>
      <c r="H59" s="174"/>
      <c r="I59" s="173"/>
      <c r="J59" s="173"/>
      <c r="K59" s="183"/>
      <c r="L59" s="183"/>
      <c r="M59" s="184"/>
      <c r="N59" s="182"/>
      <c r="O59" s="185"/>
      <c r="P59" s="185"/>
      <c r="Q59" s="186"/>
      <c r="R59" s="187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</row>
    <row r="60" s="11" customFormat="1" ht="50" customHeight="1" spans="1:192">
      <c r="A60" s="181" t="s">
        <v>130</v>
      </c>
      <c r="B60" s="182"/>
      <c r="C60" s="188"/>
      <c r="D60" s="188"/>
      <c r="E60" s="188"/>
      <c r="F60" s="189"/>
      <c r="G60" s="189"/>
      <c r="H60" s="190"/>
      <c r="I60" s="188"/>
      <c r="J60" s="188"/>
      <c r="K60" s="188"/>
      <c r="L60" s="188"/>
      <c r="M60" s="188"/>
      <c r="N60" s="188"/>
      <c r="O60" s="191"/>
      <c r="P60" s="191"/>
      <c r="Q60" s="192"/>
      <c r="R60" s="193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</row>
    <row r="61" s="11" customFormat="1" ht="50" customHeight="1" spans="1:192">
      <c r="A61" s="181" t="s">
        <v>131</v>
      </c>
      <c r="B61" s="182"/>
      <c r="C61" s="182"/>
      <c r="D61" s="182"/>
      <c r="E61" s="182"/>
      <c r="F61" s="173"/>
      <c r="G61" s="173"/>
      <c r="H61" s="174"/>
      <c r="I61" s="182"/>
      <c r="J61" s="182"/>
      <c r="K61" s="182"/>
      <c r="L61" s="182"/>
      <c r="M61" s="182"/>
      <c r="N61" s="182"/>
      <c r="O61" s="185"/>
      <c r="P61" s="185"/>
      <c r="Q61" s="186"/>
      <c r="R61" s="187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</row>
    <row r="62" s="11" customFormat="1" ht="50" customHeight="1" spans="1:192">
      <c r="A62" s="181" t="s">
        <v>132</v>
      </c>
      <c r="B62" s="182"/>
      <c r="C62" s="182"/>
      <c r="D62" s="182"/>
      <c r="E62" s="182"/>
      <c r="F62" s="173"/>
      <c r="G62" s="173"/>
      <c r="H62" s="174"/>
      <c r="I62" s="182"/>
      <c r="J62" s="182"/>
      <c r="K62" s="182"/>
      <c r="L62" s="182"/>
      <c r="M62" s="182"/>
      <c r="N62" s="182"/>
      <c r="O62" s="185"/>
      <c r="P62" s="185"/>
      <c r="Q62" s="186"/>
      <c r="R62" s="187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</row>
    <row r="63" s="11" customFormat="1" ht="50" customHeight="1" spans="1:192">
      <c r="A63" s="181" t="s">
        <v>133</v>
      </c>
      <c r="B63" s="182"/>
      <c r="C63" s="182"/>
      <c r="D63" s="182"/>
      <c r="E63" s="182"/>
      <c r="F63" s="173"/>
      <c r="G63" s="173"/>
      <c r="H63" s="174"/>
      <c r="I63" s="182"/>
      <c r="J63" s="182"/>
      <c r="K63" s="182"/>
      <c r="L63" s="182"/>
      <c r="M63" s="182"/>
      <c r="N63" s="182"/>
      <c r="O63" s="185"/>
      <c r="P63" s="185"/>
      <c r="Q63" s="186"/>
      <c r="R63" s="187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</row>
    <row r="64" s="12" customFormat="1" ht="50" customHeight="1" spans="1:192">
      <c r="A64" s="194"/>
      <c r="B64" s="195"/>
      <c r="C64" s="195"/>
      <c r="D64" s="195"/>
      <c r="E64" s="195"/>
      <c r="F64" s="195"/>
      <c r="G64" s="195"/>
      <c r="H64" s="196"/>
      <c r="I64" s="195"/>
      <c r="J64" s="197"/>
      <c r="K64" s="198"/>
      <c r="L64" s="199"/>
      <c r="M64" s="200"/>
      <c r="N64" s="177"/>
      <c r="O64" s="178"/>
      <c r="P64" s="178"/>
      <c r="Q64" s="179"/>
      <c r="R64" s="180"/>
    </row>
    <row r="65" s="2" customFormat="1" ht="55" customHeight="1" spans="1:18">
      <c r="A65" s="201" t="s">
        <v>134</v>
      </c>
      <c r="B65" s="202"/>
      <c r="C65" s="202"/>
      <c r="D65" s="202"/>
      <c r="E65" s="203"/>
      <c r="F65" s="204"/>
      <c r="G65" s="204"/>
      <c r="H65" s="205"/>
      <c r="I65" s="206"/>
      <c r="J65" s="202"/>
      <c r="K65" s="207"/>
      <c r="L65" s="208"/>
      <c r="M65" s="209" t="s">
        <v>135</v>
      </c>
      <c r="N65" s="209"/>
      <c r="O65" s="210"/>
      <c r="P65" s="210"/>
      <c r="Q65" s="209"/>
      <c r="R65" s="211"/>
    </row>
    <row r="66" s="13" customFormat="1" ht="35" customHeight="1" spans="1:18">
      <c r="A66" s="212"/>
      <c r="B66" s="213"/>
      <c r="C66" s="213"/>
      <c r="D66" s="213"/>
      <c r="E66" s="213"/>
      <c r="F66" s="214"/>
      <c r="G66" s="214"/>
      <c r="H66" s="215"/>
      <c r="I66" s="213"/>
      <c r="J66" s="213"/>
      <c r="K66" s="216"/>
      <c r="L66" s="217"/>
      <c r="M66" s="218"/>
      <c r="N66" s="218"/>
      <c r="O66" s="219"/>
      <c r="P66" s="219"/>
      <c r="Q66" s="218"/>
      <c r="R66" s="220"/>
    </row>
    <row r="67" spans="1:18">
      <c r="O67" s="221"/>
      <c r="P67" s="221"/>
      <c r="Q67" s="222"/>
      <c r="R67" s="223"/>
    </row>
  </sheetData>
  <mergeCells count="42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F15:G15"/>
    <mergeCell ref="K15:L15"/>
    <mergeCell ref="F16:G16"/>
    <mergeCell ref="A17:R17"/>
    <mergeCell ref="F50:R50"/>
    <mergeCell ref="F51:R51"/>
    <mergeCell ref="F52:R52"/>
    <mergeCell ref="F53:R53"/>
    <mergeCell ref="F54:R54"/>
    <mergeCell ref="F55:R55"/>
    <mergeCell ref="A57:M57"/>
    <mergeCell ref="A58:M58"/>
    <mergeCell ref="M65:R65"/>
    <mergeCell ref="A15:A16"/>
    <mergeCell ref="B15:B16"/>
    <mergeCell ref="C15:C16"/>
    <mergeCell ref="D15:D16"/>
    <mergeCell ref="E15:E16"/>
    <mergeCell ref="I15:I16"/>
    <mergeCell ref="O15:O16"/>
    <mergeCell ref="P15:P16"/>
    <mergeCell ref="Q15:Q16"/>
    <mergeCell ref="R15:R16"/>
    <mergeCell ref="M5:N8"/>
    <mergeCell ref="M9:N14"/>
    <mergeCell ref="O5:R8"/>
    <mergeCell ref="A46:J47"/>
    <mergeCell ref="O9:R14"/>
  </mergeCells>
  <printOptions horizontalCentered="1" verticalCentered="1"/>
  <pageMargins left="0" right="0" top="0" bottom="0" header="0.196527777777778" footer="0.196527777777778"/>
  <pageSetup paperSize="9" scale="19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2026-06-03T02:59:58Z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8A1CE204830E474FA6E9B529CCC35F24_13</vt:lpwstr>
  </property>
  <property fmtid="{D5CDD505-2E9C-101B-9397-08002B2CF9AE}" pid="4" name="CalculationRule">
    <vt:i4>0</vt:i4>
  </property>
</Properties>
</file>
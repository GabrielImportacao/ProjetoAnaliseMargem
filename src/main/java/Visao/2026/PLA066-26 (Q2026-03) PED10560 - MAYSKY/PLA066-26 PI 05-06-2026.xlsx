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K:\Importacao\Operacional\2. Processos de Importacão\2. Pedidos\1. Pedidos Abertos\2026\PLA066-26 (Q2026-03) PED10560 - MAYSKY\"/>
    </mc:Choice>
  </mc:AlternateContent>
  <xr:revisionPtr revIDLastSave="0" documentId="13_ncr:1_{287FDA04-732A-4F40-98EA-4790EF8D4322}" xr6:coauthVersionLast="47" xr6:coauthVersionMax="47" xr10:uidLastSave="{00000000-0000-0000-0000-000000000000}"/>
  <bookViews>
    <workbookView xWindow="-120" yWindow="-120" windowWidth="29040" windowHeight="15720" xr2:uid="{BE9D2A24-18D3-4309-BA06-C028C838658A}"/>
  </bookViews>
  <sheets>
    <sheet name="Invoice" sheetId="1" r:id="rId1"/>
  </sheets>
  <externalReferences>
    <externalReference r:id="rId2"/>
  </externalReferences>
  <definedNames>
    <definedName name="_xlnm.Print_Area" localSheetId="0">Invoice!$A$1:$Z$64</definedName>
    <definedName name="Base_Acréssimo">#REF!</definedName>
    <definedName name="Base_DescontoF1">#REF!</definedName>
    <definedName name="Base_DescontoF10">#REF!</definedName>
    <definedName name="Base_DescontoF2">#REF!</definedName>
    <definedName name="Base_DescontoF3">#REF!</definedName>
    <definedName name="Base_DescontoF4">#REF!</definedName>
    <definedName name="Base_DescontoF5">#REF!</definedName>
    <definedName name="Base_DescontoF6">#REF!</definedName>
    <definedName name="Base_DescontoF7">#REF!</definedName>
    <definedName name="Base_DescontoF8">#REF!</definedName>
    <definedName name="Base_DescontoF9">#REF!</definedName>
    <definedName name="Base_Dólar">#REF!</definedName>
    <definedName name="Base_NomeFornecedor">#REF!</definedName>
    <definedName name="Base_NomeFornecedor1">#REF!</definedName>
    <definedName name="Base_NomeFornecedor10">#REF!</definedName>
    <definedName name="Base_NomeFornecedor2">#REF!</definedName>
    <definedName name="Base_NomeFornecedor3">#REF!</definedName>
    <definedName name="Base_NomeFornecedor4">#REF!</definedName>
    <definedName name="Base_NomeFornecedor5">#REF!</definedName>
    <definedName name="Base_NomeFornecedor6">#REF!</definedName>
    <definedName name="Base_NomeFornecedor7">#REF!</definedName>
    <definedName name="Base_NomeFornecedor8">#REF!</definedName>
    <definedName name="Base_NomeFornecedor9">#REF!</definedName>
    <definedName name="Base_PesoContainer">#REF!</definedName>
    <definedName name="Base_PesoTotal">#REF!</definedName>
    <definedName name="Base_QtdeContainer">#REF!</definedName>
    <definedName name="ListBox_Fornecerdores">#REF!</definedName>
    <definedName name="Pesquisa_FornecedorA">#REF!</definedName>
    <definedName name="Pesquisa_FornecedorB">#REF!</definedName>
    <definedName name="Pesquisa_FornecedorX">#REF!</definedName>
    <definedName name="_xlnm.Print_Titles" localSheetId="0">Invoice!$23:$23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Y31" i="1" l="1"/>
  <c r="N24" i="1"/>
  <c r="N25" i="1"/>
  <c r="N26" i="1"/>
  <c r="N27" i="1"/>
  <c r="N28" i="1"/>
  <c r="N29" i="1"/>
  <c r="N30" i="1"/>
  <c r="N32" i="1"/>
  <c r="N31" i="1"/>
  <c r="N33" i="1"/>
  <c r="N34" i="1"/>
  <c r="N35" i="1"/>
  <c r="N36" i="1"/>
  <c r="N37" i="1"/>
  <c r="N38" i="1"/>
  <c r="O24" i="1"/>
  <c r="O25" i="1"/>
  <c r="O26" i="1"/>
  <c r="O27" i="1"/>
  <c r="O28" i="1"/>
  <c r="O29" i="1"/>
  <c r="O30" i="1"/>
  <c r="O32" i="1"/>
  <c r="O31" i="1"/>
  <c r="O33" i="1"/>
  <c r="O34" i="1"/>
  <c r="O35" i="1"/>
  <c r="O36" i="1"/>
  <c r="O37" i="1"/>
  <c r="O38" i="1"/>
  <c r="P24" i="1"/>
  <c r="P25" i="1"/>
  <c r="P26" i="1"/>
  <c r="P27" i="1"/>
  <c r="P28" i="1"/>
  <c r="P29" i="1"/>
  <c r="P30" i="1"/>
  <c r="P32" i="1"/>
  <c r="P31" i="1"/>
  <c r="P33" i="1"/>
  <c r="P34" i="1"/>
  <c r="P35" i="1"/>
  <c r="P36" i="1"/>
  <c r="P37" i="1"/>
  <c r="P38" i="1"/>
  <c r="R39" i="1" l="1"/>
  <c r="C41" i="1" s="1"/>
  <c r="Y38" i="1"/>
  <c r="V38" i="1"/>
  <c r="W38" i="1" s="1"/>
  <c r="T38" i="1"/>
  <c r="L38" i="1"/>
  <c r="K38" i="1"/>
  <c r="J38" i="1"/>
  <c r="I38" i="1"/>
  <c r="H38" i="1"/>
  <c r="F38" i="1"/>
  <c r="D38" i="1"/>
  <c r="Y37" i="1"/>
  <c r="V37" i="1"/>
  <c r="W37" i="1" s="1"/>
  <c r="T37" i="1"/>
  <c r="L37" i="1"/>
  <c r="K37" i="1"/>
  <c r="J37" i="1"/>
  <c r="I37" i="1"/>
  <c r="H37" i="1"/>
  <c r="F37" i="1"/>
  <c r="D37" i="1"/>
  <c r="Y36" i="1"/>
  <c r="V36" i="1"/>
  <c r="W36" i="1" s="1"/>
  <c r="T36" i="1"/>
  <c r="L36" i="1"/>
  <c r="K36" i="1"/>
  <c r="J36" i="1"/>
  <c r="I36" i="1"/>
  <c r="H36" i="1"/>
  <c r="F36" i="1"/>
  <c r="D36" i="1"/>
  <c r="Y35" i="1"/>
  <c r="V35" i="1"/>
  <c r="W35" i="1" s="1"/>
  <c r="T35" i="1"/>
  <c r="L35" i="1"/>
  <c r="K35" i="1"/>
  <c r="J35" i="1"/>
  <c r="I35" i="1"/>
  <c r="H35" i="1"/>
  <c r="F35" i="1"/>
  <c r="D35" i="1"/>
  <c r="Y34" i="1"/>
  <c r="V34" i="1"/>
  <c r="W34" i="1" s="1"/>
  <c r="T34" i="1"/>
  <c r="L34" i="1"/>
  <c r="K34" i="1"/>
  <c r="J34" i="1"/>
  <c r="I34" i="1"/>
  <c r="H34" i="1"/>
  <c r="F34" i="1"/>
  <c r="D34" i="1"/>
  <c r="Y33" i="1"/>
  <c r="V33" i="1"/>
  <c r="W33" i="1" s="1"/>
  <c r="T33" i="1"/>
  <c r="L33" i="1"/>
  <c r="K33" i="1"/>
  <c r="J33" i="1"/>
  <c r="I33" i="1"/>
  <c r="H33" i="1"/>
  <c r="F33" i="1"/>
  <c r="D33" i="1"/>
  <c r="V31" i="1"/>
  <c r="W31" i="1" s="1"/>
  <c r="T31" i="1"/>
  <c r="L31" i="1"/>
  <c r="K31" i="1"/>
  <c r="J31" i="1"/>
  <c r="I31" i="1"/>
  <c r="H31" i="1"/>
  <c r="F31" i="1"/>
  <c r="D31" i="1"/>
  <c r="Y32" i="1"/>
  <c r="V32" i="1"/>
  <c r="W32" i="1" s="1"/>
  <c r="T32" i="1"/>
  <c r="L32" i="1"/>
  <c r="K32" i="1"/>
  <c r="J32" i="1"/>
  <c r="I32" i="1"/>
  <c r="H32" i="1"/>
  <c r="F32" i="1"/>
  <c r="D32" i="1"/>
  <c r="Y30" i="1"/>
  <c r="V30" i="1"/>
  <c r="W30" i="1" s="1"/>
  <c r="T30" i="1"/>
  <c r="L30" i="1"/>
  <c r="K30" i="1"/>
  <c r="J30" i="1"/>
  <c r="I30" i="1"/>
  <c r="H30" i="1"/>
  <c r="F30" i="1"/>
  <c r="D30" i="1"/>
  <c r="Y29" i="1"/>
  <c r="V29" i="1"/>
  <c r="W29" i="1" s="1"/>
  <c r="T29" i="1"/>
  <c r="L29" i="1"/>
  <c r="K29" i="1"/>
  <c r="J29" i="1"/>
  <c r="I29" i="1"/>
  <c r="H29" i="1"/>
  <c r="F29" i="1"/>
  <c r="D29" i="1"/>
  <c r="Y28" i="1"/>
  <c r="V28" i="1"/>
  <c r="W28" i="1" s="1"/>
  <c r="T28" i="1"/>
  <c r="L28" i="1"/>
  <c r="K28" i="1"/>
  <c r="J28" i="1"/>
  <c r="I28" i="1"/>
  <c r="H28" i="1"/>
  <c r="F28" i="1"/>
  <c r="D28" i="1"/>
  <c r="Y27" i="1"/>
  <c r="V27" i="1"/>
  <c r="W27" i="1" s="1"/>
  <c r="T27" i="1"/>
  <c r="L27" i="1"/>
  <c r="K27" i="1"/>
  <c r="J27" i="1"/>
  <c r="I27" i="1"/>
  <c r="H27" i="1"/>
  <c r="F27" i="1"/>
  <c r="D27" i="1"/>
  <c r="Y26" i="1"/>
  <c r="V26" i="1"/>
  <c r="W26" i="1" s="1"/>
  <c r="T26" i="1"/>
  <c r="L26" i="1"/>
  <c r="K26" i="1"/>
  <c r="J26" i="1"/>
  <c r="I26" i="1"/>
  <c r="H26" i="1"/>
  <c r="F26" i="1"/>
  <c r="D26" i="1"/>
  <c r="Y25" i="1"/>
  <c r="V25" i="1"/>
  <c r="W25" i="1" s="1"/>
  <c r="T25" i="1"/>
  <c r="L25" i="1"/>
  <c r="K25" i="1"/>
  <c r="J25" i="1"/>
  <c r="I25" i="1"/>
  <c r="H25" i="1"/>
  <c r="F25" i="1"/>
  <c r="D25" i="1"/>
  <c r="Y24" i="1"/>
  <c r="V24" i="1"/>
  <c r="W24" i="1" s="1"/>
  <c r="T24" i="1"/>
  <c r="L24" i="1"/>
  <c r="K24" i="1"/>
  <c r="J24" i="1"/>
  <c r="I24" i="1"/>
  <c r="H24" i="1"/>
  <c r="F24" i="1"/>
  <c r="D24" i="1"/>
  <c r="T39" i="1" l="1"/>
  <c r="C43" i="1" s="1"/>
  <c r="W3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Vendas5</author>
  </authors>
  <commentList>
    <comment ref="U20" authorId="0" shapeId="0" xr:uid="{4C1AA329-E793-4734-AAC3-92A82876B77B}">
      <text>
        <r>
          <rPr>
            <sz val="9"/>
            <color indexed="81"/>
            <rFont val="Segoe UI"/>
            <family val="2"/>
          </rPr>
          <t xml:space="preserve">(PT)Preço total original da Proforma Invoice.
(EN)Original Total Price of Proforma Invoice
</t>
        </r>
      </text>
    </comment>
    <comment ref="U21" authorId="0" shapeId="0" xr:uid="{156B3BC7-5A20-421F-B160-54F2C7B8B47F}">
      <text>
        <r>
          <rPr>
            <sz val="9"/>
            <color indexed="81"/>
            <rFont val="Segoe UI"/>
            <family val="2"/>
          </rPr>
          <t>(PT) Valor total de desconto de qualidade.
(EN) Total quality discount amount.</t>
        </r>
      </text>
    </comment>
  </commentList>
</comments>
</file>

<file path=xl/sharedStrings.xml><?xml version="1.0" encoding="utf-8"?>
<sst xmlns="http://schemas.openxmlformats.org/spreadsheetml/2006/main" count="158" uniqueCount="112">
  <si>
    <t>INVOICE NO.:</t>
  </si>
  <si>
    <t>DATE:</t>
  </si>
  <si>
    <t>PLASNOX REFERENCE:</t>
  </si>
  <si>
    <t>⬇</t>
  </si>
  <si>
    <t>ITEM</t>
  </si>
  <si>
    <t>CODE</t>
  </si>
  <si>
    <t>ORIGIN</t>
  </si>
  <si>
    <t>FULL DESCRIPTION (PT-BR)</t>
  </si>
  <si>
    <t>DESCRIPTION</t>
  </si>
  <si>
    <t>DETAILED DESCRIPTION</t>
  </si>
  <si>
    <t>MATERIAL</t>
  </si>
  <si>
    <t>PRESSURE CLASS</t>
  </si>
  <si>
    <t>SIZE 1-0</t>
  </si>
  <si>
    <t>SIZE 1-1</t>
  </si>
  <si>
    <t>SIZE 2-0</t>
  </si>
  <si>
    <t>SIZE 2-1</t>
  </si>
  <si>
    <t>FULL SIZE</t>
  </si>
  <si>
    <t>CONNECTION TERMINALS</t>
  </si>
  <si>
    <t>CONSTRUCTION / TESTING STANDARDS</t>
  </si>
  <si>
    <t>MANUFACTURING DETAILS</t>
  </si>
  <si>
    <t>UOM</t>
  </si>
  <si>
    <t>NET WEIGHT (Kg)</t>
  </si>
  <si>
    <t>TOTAL NET WEIGHT (Kg)</t>
  </si>
  <si>
    <t>ORIGINAL PRICE UNIT. (USD)</t>
  </si>
  <si>
    <t>PRICE UNIT. (USD)</t>
  </si>
  <si>
    <t>TOTAL PRICE (USD)</t>
  </si>
  <si>
    <t>NCM CODE</t>
  </si>
  <si>
    <t>PRODUCT LINE (PT-BR)</t>
  </si>
  <si>
    <t>HEAT NUMBER</t>
  </si>
  <si>
    <t>TOTAL</t>
  </si>
  <si>
    <t>TOTAL QUANTITY:</t>
  </si>
  <si>
    <t>NOTES BELOW:</t>
  </si>
  <si>
    <t>TOTAL NET WEIGHT:</t>
  </si>
  <si>
    <t>TOTAL GROSS WEIGHT:</t>
  </si>
  <si>
    <t>TOTAL PACKAGE:</t>
  </si>
  <si>
    <t>TOTAL VOLUME:</t>
  </si>
  <si>
    <t>SHIPPING INFORMATION</t>
  </si>
  <si>
    <t>INCOTERMS:</t>
  </si>
  <si>
    <t>FOB</t>
  </si>
  <si>
    <t>LOADING PORT:</t>
  </si>
  <si>
    <t>ORIGIN COUNTRY:</t>
  </si>
  <si>
    <t>ACQUISITON COUNTRY:</t>
  </si>
  <si>
    <t>DISCHARGE PORT:</t>
  </si>
  <si>
    <t>DESTINY COUNTRY:</t>
  </si>
  <si>
    <t>PROCEDENCE COUNTRY:</t>
  </si>
  <si>
    <t>PAYMENT INFORMATION</t>
  </si>
  <si>
    <t xml:space="preserve"> PROFORMA INVOICE</t>
  </si>
  <si>
    <t>MSC2401.1205</t>
  </si>
  <si>
    <t>MSC2401.1206</t>
  </si>
  <si>
    <t>MSC2401.1207</t>
  </si>
  <si>
    <t>MSC2401.1208</t>
  </si>
  <si>
    <t>MSC2401.1209</t>
  </si>
  <si>
    <t>MSC2401.1210</t>
  </si>
  <si>
    <t>MSC2401.1211</t>
  </si>
  <si>
    <t>MSC2401.1411</t>
  </si>
  <si>
    <t>MSC2401.1212</t>
  </si>
  <si>
    <t>MSC2401.1412</t>
  </si>
  <si>
    <t>MSC2401.1413</t>
  </si>
  <si>
    <t>MSC2401.1414</t>
  </si>
  <si>
    <t>MSC2401.1406</t>
  </si>
  <si>
    <t>MSC2401.1408</t>
  </si>
  <si>
    <t>MSC2401.1409</t>
  </si>
  <si>
    <t>TUBE ROUND WELDED ANNEALING/ASTM A270 SANITARY STAINLESS/SURFACE FINISH POLISHED OUTSIDE600 GRIT, INSIDE400 GRIT(Ra＜0.8μm) WITH MIRROR OUTSIDE</t>
  </si>
  <si>
    <t>OD019,05 (3/4P) x 1,5MMx 6METERS</t>
  </si>
  <si>
    <t>OD025,40 (1P) x 1,5MMx 6METERS</t>
  </si>
  <si>
    <t>OD031,75 (1.1/4P) x 1,5MMx 6METERS</t>
  </si>
  <si>
    <t>OD038,10 (1.1/2P) x 1,5MMx 6METERS</t>
  </si>
  <si>
    <t>OD050,80 (2P) x 1,5MMx 6METERS</t>
  </si>
  <si>
    <t>OD063,50 (2.1/2P) x 1,5MMx 6METERS</t>
  </si>
  <si>
    <t>OD076,20 (3P) x 1,5MMx 6METERS</t>
  </si>
  <si>
    <t>OD076,20 (3P) x 2,0MMx 6METERS</t>
  </si>
  <si>
    <t>OD101,60 (4P) x 1,5MMx 6METERS</t>
  </si>
  <si>
    <t>OD101,60 (4P) x 2,0MMx 6METERS</t>
  </si>
  <si>
    <t>OD127,00 (5P) x 2,0MMx 6METERS</t>
  </si>
  <si>
    <t>OD152,40 (6P) x 2,0MMx 6METERS</t>
  </si>
  <si>
    <t>OD025,40 (1P) x 2,0MM</t>
  </si>
  <si>
    <t>OD038,10 (1.1/2P) x 2,0MM</t>
  </si>
  <si>
    <t>OD050,80 (2P) x 2,0MM</t>
  </si>
  <si>
    <t>M</t>
  </si>
  <si>
    <t>QUANTITY / M</t>
  </si>
  <si>
    <t>MAYSKY TRADING CO., LIMITED</t>
  </si>
  <si>
    <t>NO.1102, 11F, Building Lingnan. North of Lingnan Avenue,Chancheng District.Foshan City.China</t>
  </si>
  <si>
    <t>Tel:+86-757-63838585       Fax:+86-757-88030830         www.mayskyss.com</t>
  </si>
  <si>
    <r>
      <rPr>
        <b/>
        <u/>
        <sz val="12"/>
        <color theme="1"/>
        <rFont val="Aptos Narrow"/>
        <family val="2"/>
        <scheme val="minor"/>
      </rPr>
      <t>IMPORTER</t>
    </r>
    <r>
      <rPr>
        <b/>
        <sz val="12"/>
        <color theme="1"/>
        <rFont val="Aptos Narrow"/>
        <family val="2"/>
        <scheme val="minor"/>
      </rPr>
      <t>/BUYER: PLASNOX IND. E COM. DE IMPORTAÇÕES LTDA</t>
    </r>
  </si>
  <si>
    <t>Rua Bonifácio Haendchen, 755 - Belchior Central, Gaspar - SC, 89110-975 - BRAZIL
79.925.442/0001-07 - Inscrição estadual: 251.465.888
PHONE: +5547-33316700</t>
  </si>
  <si>
    <t>ADD.: NO.1102, 11F, BUILDING LINGNAN. NORTH OF LINGNAN AVENUE,CHANCHENG DISTRICT.FOSHAN CITY.CHINA
TEL.: TEL:+86-757-63838585   |    FAX:+86-757-88030830    |     WWW.MAYSKYSS.COM</t>
  </si>
  <si>
    <t>SAY US DOLLARS THREE HUNDRED TEN THOUSAND FIVE HUNDRED SEVENTY-SIX AND TWENTY CENTS ONLY.</t>
  </si>
  <si>
    <t>Please be attention this price is only valid ONE working day</t>
  </si>
  <si>
    <t xml:space="preserve">1.Payment Terms:  </t>
  </si>
  <si>
    <t>20% deposit  and 80% balance paid 15 days before arriving in Brazilian Porto, FOB China</t>
  </si>
  <si>
    <t>2.PI VALIDITY TIME:</t>
  </si>
  <si>
    <t>THE DEPOSITE SHOULD BE PAID WITHIN 7 DAYS AFTER PI DATE, OR SUPPLIER HAVE RIGHT TO CANCEL THE ORDER</t>
  </si>
  <si>
    <t>30-35 days since the date of receipt of deposit</t>
  </si>
  <si>
    <t xml:space="preserve">4.Packing:                  </t>
  </si>
  <si>
    <t>Thickness: ±10%, quantity:±10%, others as per ASTM-A270 standard.</t>
  </si>
  <si>
    <t>6.CLAIM VALIDITY:</t>
  </si>
  <si>
    <t>IN CASE OF ANY CLAIM, IT SHOULD BE RAISED WITHIN ONE MONTH UPON RECEIVED MATERIAL.</t>
  </si>
  <si>
    <r>
      <t>3.Delivery time</t>
    </r>
    <r>
      <rPr>
        <sz val="9"/>
        <rFont val="Calibri"/>
        <family val="2"/>
      </rPr>
      <t xml:space="preserve">:        </t>
    </r>
  </si>
  <si>
    <r>
      <t>Each tube in normal PVC bag,2 short ropes around each bundle</t>
    </r>
    <r>
      <rPr>
        <sz val="9"/>
        <rFont val="宋体"/>
        <charset val="134"/>
      </rPr>
      <t>；</t>
    </r>
  </si>
  <si>
    <r>
      <t>5.Tolerance:</t>
    </r>
    <r>
      <rPr>
        <sz val="9"/>
        <rFont val="Calibri"/>
        <family val="2"/>
      </rPr>
      <t xml:space="preserve">          </t>
    </r>
  </si>
  <si>
    <t>Bank Account :</t>
  </si>
  <si>
    <t>BENEFICIARY’S NAME:  MAYSKY TRADING CO., LIMITED</t>
  </si>
  <si>
    <t>BENEFICIARY'S ADDRESS: NO.1102, 11F, Building Lingnan. North of Lingnan Avenue,Chancheng District.Foshan City.China</t>
  </si>
  <si>
    <t xml:space="preserve">BENEFICIARY BANK :  PING AN BANK CO., LTD.  </t>
  </si>
  <si>
    <t xml:space="preserve">BENEFICIARY BANK ADDRESS: 11/F, NO 5047 ROAD SHENNAN DONG,SHENZHEN P.R.CHINA  </t>
  </si>
  <si>
    <t xml:space="preserve">SWIFT ADDRESS:  SZDBCNBS  </t>
  </si>
  <si>
    <t xml:space="preserve">A/C NO: 110-1457-8040-006  </t>
  </si>
  <si>
    <r>
      <t>MANUFACTURER:</t>
    </r>
    <r>
      <rPr>
        <b/>
        <sz val="12"/>
        <color theme="1"/>
        <rFont val="Aptos Narrow"/>
        <family val="2"/>
        <scheme val="minor"/>
      </rPr>
      <t xml:space="preserve"> MAYSKY STAINLESS STEEL CO.,LIMITED</t>
    </r>
  </si>
  <si>
    <t>MSY20260603LB04</t>
  </si>
  <si>
    <t>PLA066-26</t>
  </si>
  <si>
    <t>ML066261</t>
  </si>
  <si>
    <t>ML066262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</si>
</sst>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[$$-409]* #,##0.00_ ;_-[$$-409]* \-#,##0.00\ ;_-[$$-409]* &quot;-&quot;??_ ;_-@_ "/>
    <numFmt numFmtId="165" formatCode="0.000"/>
    <numFmt numFmtId="166" formatCode="0.00_ "/>
    <numFmt numFmtId="167" formatCode="0.00_);[Red]\(0.00\)"/>
    <numFmt numFmtId="168" formatCode="0_ "/>
    <numFmt numFmtId="169" formatCode="&quot;US$&quot;#,##0.00;\-&quot;US$&quot;#,##0.00"/>
  </numFmts>
  <fonts count="2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u/>
      <sz val="25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b/>
      <u/>
      <sz val="1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8"/>
      <name val="Aptos Narrow"/>
      <family val="2"/>
      <scheme val="minor"/>
    </font>
    <font>
      <sz val="8"/>
      <name val="Aptos Narrow"/>
      <family val="2"/>
      <scheme val="minor"/>
    </font>
    <font>
      <b/>
      <sz val="8"/>
      <color rgb="FFFF0000"/>
      <name val="Aptos Narrow"/>
      <family val="2"/>
      <scheme val="minor"/>
    </font>
    <font>
      <b/>
      <sz val="12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9"/>
      <color indexed="81"/>
      <name val="Segoe UI"/>
      <family val="2"/>
    </font>
    <font>
      <b/>
      <sz val="9"/>
      <name val="Calibri"/>
      <family val="2"/>
    </font>
    <font>
      <sz val="9"/>
      <name val="Calibri"/>
      <family val="2"/>
    </font>
    <font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center"/>
    </xf>
    <xf numFmtId="164" fontId="1" fillId="0" borderId="1" xfId="0" applyNumberFormat="1" applyFont="1" applyBorder="1" applyAlignment="1">
      <alignment vertical="center"/>
    </xf>
    <xf numFmtId="164" fontId="1" fillId="2" borderId="1" xfId="0" applyNumberFormat="1" applyFont="1" applyFill="1" applyBorder="1" applyAlignment="1">
      <alignment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left" vertical="center"/>
    </xf>
    <xf numFmtId="165" fontId="13" fillId="0" borderId="6" xfId="0" applyNumberFormat="1" applyFont="1" applyBorder="1" applyAlignment="1">
      <alignment horizontal="center" vertical="center"/>
    </xf>
    <xf numFmtId="165" fontId="12" fillId="0" borderId="7" xfId="0" applyNumberFormat="1" applyFont="1" applyBorder="1" applyAlignment="1">
      <alignment horizontal="center" vertical="center"/>
    </xf>
    <xf numFmtId="164" fontId="13" fillId="0" borderId="6" xfId="0" applyNumberFormat="1" applyFont="1" applyBorder="1" applyAlignment="1">
      <alignment horizontal="center" vertical="center"/>
    </xf>
    <xf numFmtId="164" fontId="12" fillId="0" borderId="6" xfId="0" applyNumberFormat="1" applyFont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165" fontId="13" fillId="0" borderId="1" xfId="0" applyNumberFormat="1" applyFont="1" applyBorder="1" applyAlignment="1">
      <alignment horizontal="center" vertical="center"/>
    </xf>
    <xf numFmtId="165" fontId="12" fillId="0" borderId="9" xfId="0" applyNumberFormat="1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164" fontId="12" fillId="0" borderId="10" xfId="0" applyNumberFormat="1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/>
    </xf>
    <xf numFmtId="0" fontId="15" fillId="0" borderId="3" xfId="0" applyFont="1" applyBorder="1" applyAlignment="1">
      <alignment horizontal="center" vertical="center"/>
    </xf>
    <xf numFmtId="165" fontId="15" fillId="0" borderId="4" xfId="0" applyNumberFormat="1" applyFont="1" applyBorder="1" applyAlignment="1">
      <alignment horizontal="center" vertical="center"/>
    </xf>
    <xf numFmtId="165" fontId="15" fillId="0" borderId="3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164" fontId="15" fillId="0" borderId="3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" fillId="0" borderId="2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8" fillId="0" borderId="24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66" fontId="18" fillId="0" borderId="0" xfId="0" applyNumberFormat="1" applyFont="1" applyAlignment="1">
      <alignment vertical="center"/>
    </xf>
    <xf numFmtId="167" fontId="18" fillId="0" borderId="24" xfId="0" applyNumberFormat="1" applyFont="1" applyBorder="1" applyAlignment="1">
      <alignment vertical="center"/>
    </xf>
    <xf numFmtId="167" fontId="18" fillId="0" borderId="0" xfId="0" applyNumberFormat="1" applyFont="1" applyAlignment="1">
      <alignment vertical="center"/>
    </xf>
    <xf numFmtId="167" fontId="18" fillId="0" borderId="24" xfId="0" applyNumberFormat="1" applyFont="1" applyBorder="1" applyAlignment="1">
      <alignment horizontal="left" vertical="center"/>
    </xf>
    <xf numFmtId="167" fontId="18" fillId="0" borderId="0" xfId="0" applyNumberFormat="1" applyFont="1" applyAlignment="1">
      <alignment horizontal="left" vertical="center"/>
    </xf>
    <xf numFmtId="167" fontId="19" fillId="0" borderId="0" xfId="0" applyNumberFormat="1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vertical="center" wrapText="1" readingOrder="1"/>
    </xf>
    <xf numFmtId="166" fontId="19" fillId="0" borderId="0" xfId="0" applyNumberFormat="1" applyFont="1" applyAlignment="1">
      <alignment horizontal="left" vertical="center" wrapText="1" readingOrder="1"/>
    </xf>
    <xf numFmtId="0" fontId="19" fillId="0" borderId="0" xfId="0" applyFont="1" applyAlignment="1">
      <alignment horizontal="left" vertical="center" wrapText="1" readingOrder="1"/>
    </xf>
    <xf numFmtId="168" fontId="19" fillId="0" borderId="0" xfId="0" applyNumberFormat="1" applyFont="1" applyAlignment="1">
      <alignment horizontal="left" vertical="center" wrapText="1" readingOrder="1"/>
    </xf>
    <xf numFmtId="169" fontId="19" fillId="0" borderId="0" xfId="0" applyNumberFormat="1" applyFont="1" applyAlignment="1">
      <alignment horizontal="center" vertical="center"/>
    </xf>
    <xf numFmtId="166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vertical="center" wrapText="1" readingOrder="1"/>
    </xf>
    <xf numFmtId="166" fontId="19" fillId="0" borderId="0" xfId="0" applyNumberFormat="1" applyFont="1" applyAlignment="1">
      <alignment vertical="center" wrapText="1" readingOrder="1"/>
    </xf>
    <xf numFmtId="0" fontId="5" fillId="0" borderId="0" xfId="0" applyFont="1" applyAlignment="1">
      <alignment horizontal="left"/>
    </xf>
    <xf numFmtId="0" fontId="5" fillId="0" borderId="21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right"/>
    </xf>
    <xf numFmtId="0" fontId="8" fillId="0" borderId="0" xfId="0" applyFont="1" applyAlignment="1">
      <alignment horizontal="right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16" fillId="0" borderId="0" xfId="0" applyFont="1" applyAlignment="1">
      <alignment horizontal="right" vertical="center" wrapText="1"/>
    </xf>
    <xf numFmtId="165" fontId="5" fillId="0" borderId="0" xfId="0" applyNumberFormat="1" applyFont="1" applyAlignment="1">
      <alignment horizontal="left" vertical="center"/>
    </xf>
    <xf numFmtId="165" fontId="5" fillId="0" borderId="14" xfId="0" applyNumberFormat="1" applyFont="1" applyBorder="1" applyAlignment="1">
      <alignment horizontal="left" vertical="center"/>
    </xf>
    <xf numFmtId="0" fontId="8" fillId="0" borderId="15" xfId="0" applyFont="1" applyBorder="1" applyAlignment="1">
      <alignment horizontal="left" vertical="top"/>
    </xf>
    <xf numFmtId="0" fontId="8" fillId="0" borderId="16" xfId="0" applyFont="1" applyBorder="1" applyAlignment="1">
      <alignment horizontal="left" vertical="top"/>
    </xf>
    <xf numFmtId="0" fontId="8" fillId="0" borderId="17" xfId="0" applyFont="1" applyBorder="1" applyAlignment="1">
      <alignment horizontal="left" vertical="top"/>
    </xf>
    <xf numFmtId="0" fontId="8" fillId="0" borderId="18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14" xfId="0" applyFont="1" applyBorder="1" applyAlignment="1">
      <alignment horizontal="left" vertical="top"/>
    </xf>
    <xf numFmtId="0" fontId="8" fillId="0" borderId="7" xfId="0" applyFont="1" applyBorder="1" applyAlignment="1">
      <alignment horizontal="left" vertical="top"/>
    </xf>
    <xf numFmtId="0" fontId="8" fillId="0" borderId="19" xfId="0" applyFont="1" applyBorder="1" applyAlignment="1">
      <alignment horizontal="left" vertical="top"/>
    </xf>
    <xf numFmtId="0" fontId="8" fillId="0" borderId="20" xfId="0" applyFont="1" applyBorder="1" applyAlignment="1">
      <alignment horizontal="left" vertical="top"/>
    </xf>
    <xf numFmtId="0" fontId="6" fillId="0" borderId="0" xfId="0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8" fillId="0" borderId="0" xfId="0" applyFont="1" applyAlignment="1">
      <alignment horizontal="left" vertical="top" wrapText="1"/>
    </xf>
    <xf numFmtId="1" fontId="5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right" vertical="center"/>
    </xf>
    <xf numFmtId="1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1" fillId="2" borderId="0" xfId="0" applyFont="1" applyFill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61"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64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65" formatCode="0.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65" formatCode="0.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FF00"/>
        </patternFill>
      </fill>
    </dxf>
    <dxf>
      <font>
        <b/>
        <strike val="0"/>
        <outline val="0"/>
        <shadow val="0"/>
        <u val="none"/>
        <vertAlign val="baseline"/>
        <sz val="8"/>
        <color rgb="FFFF0000"/>
        <name val="Aptos Narrow"/>
        <family val="2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4" formatCode="_-[$$-409]* #,##0.00_ ;_-[$$-409]* \-#,##0.00\ ;_-[$$-409]* &quot;-&quot;??_ ;_-@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4" formatCode="_-[$$-409]* #,##0.00_ ;_-[$$-409]* \-#,##0.00\ ;_-[$$-409]* &quot;-&quot;??_ ;_-@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4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5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5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medium">
          <color indexed="64"/>
        </top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1</xdr:row>
      <xdr:rowOff>95250</xdr:rowOff>
    </xdr:from>
    <xdr:to>
      <xdr:col>4</xdr:col>
      <xdr:colOff>1428750</xdr:colOff>
      <xdr:row>5</xdr:row>
      <xdr:rowOff>79977</xdr:rowOff>
    </xdr:to>
    <xdr:pic>
      <xdr:nvPicPr>
        <xdr:cNvPr id="2" name="图片 1" descr="maysky 图标带R">
          <a:extLst>
            <a:ext uri="{FF2B5EF4-FFF2-40B4-BE49-F238E27FC236}">
              <a16:creationId xmlns:a16="http://schemas.microsoft.com/office/drawing/2014/main" id="{C566D477-4746-49F5-B3F1-6D28F431B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238125"/>
          <a:ext cx="2238375" cy="86102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K:\Importacao\Operacional\2.%20Processos%20de%20Importac&#227;o\2.%20Pedidos\1.%20Pedidos%20Abertos\2026\PLA000-00%20(Q0000-00)%20-%20MAYSKY\3.%20Documentos%20Finais\RPLA000-00%20CI%20AND%20PL.xlsx" TargetMode="External"/><Relationship Id="rId1" Type="http://schemas.openxmlformats.org/officeDocument/2006/relationships/externalLinkPath" Target="3.%20Documentos%20Finais/RPLA000-00%20CI%20AND%20P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oice"/>
      <sheetName val="Packing List"/>
      <sheetName val="Item x Qty"/>
      <sheetName val="Case x Weight"/>
      <sheetName val="Banco_Itens"/>
      <sheetName val="RPLA000-00 CI AND PL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55F268-7D26-4992-834A-08CCF5FED518}" name="Banco_Invoice" displayName="Banco_Invoice" ref="A23:Z39" totalsRowCount="1" headerRowDxfId="60" dataDxfId="58" totalsRowDxfId="56" headerRowBorderDxfId="59" tableBorderDxfId="57" totalsRowBorderDxfId="55">
  <tableColumns count="26">
    <tableColumn id="1" xr3:uid="{6F37DA51-882C-4C3A-84BE-3B9246EDBE3B}" name="ITEM" dataDxfId="54" totalsRowDxfId="25">
      <calculatedColumnFormula>ROW()-ROW(Banco_Invoice[[#Headers],[ITEM]])</calculatedColumnFormula>
    </tableColumn>
    <tableColumn id="2" xr3:uid="{05520638-E42A-458C-914B-88457712B7EF}" name="CODE" totalsRowLabel="TOTAL" dataDxfId="53" totalsRowDxfId="24"/>
    <tableColumn id="3" xr3:uid="{23A3C43B-A69E-4359-AEEA-E91EB2844594}" name="ORIGIN" dataDxfId="52" totalsRowDxfId="23"/>
    <tableColumn id="4" xr3:uid="{4AD91984-7EE2-4A66-B0AA-054C9478510F}" name="FULL DESCRIPTION (PT-BR)" dataDxfId="51" totalsRowDxfId="22">
      <calculatedColumnFormula>IF(_xlfn.XLOOKUP(Banco_Invoice[[#This Row],[CODE]],[1]!Banco_Itens[ID_ITEM],[1]!Banco_Itens[DESCRIÇÃO],"NÃO ENCONTRADO!",0,1)="","⚠",_xlfn.XLOOKUP(Banco_Invoice[[#This Row],[CODE]],[1]!Banco_Itens[ID_ITEM],[1]!Banco_Itens[DESCRIÇÃO],"NÃO ENCONTRADO!",0,1))</calculatedColumnFormula>
    </tableColumn>
    <tableColumn id="5" xr3:uid="{B142F320-10EE-4493-BD30-34AE1CE63A51}" name="DESCRIPTION" dataDxfId="50" totalsRowDxfId="21"/>
    <tableColumn id="6" xr3:uid="{3336F90C-163B-48E0-974B-ACB9DD63A0D0}" name="DETAILED DESCRIPTION" dataDxfId="49" totalsRowDxfId="20">
      <calculatedColumnFormula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calculatedColumnFormula>
    </tableColumn>
    <tableColumn id="7" xr3:uid="{073E0A8F-6989-4195-B90F-B36CF0E64BAC}" name="MATERIAL" dataDxfId="48" totalsRowDxfId="19">
      <calculatedColumnFormula>IF(_xlfn.XLOOKUP(Banco_Invoice[[#This Row],[CODE]],[1]!Banco_Itens[ID_ITEM],[1]!Banco_Itens[MATERIAL STANDARD],"NO CODE!",0,1)="","⚠",_xlfn.XLOOKUP(Banco_Invoice[[#This Row],[CODE]],[1]!Banco_Itens[ID_ITEM],[1]!Banco_Itens[MATERIAL STANDARD],"NO CODE!",0,1))</calculatedColumnFormula>
    </tableColumn>
    <tableColumn id="8" xr3:uid="{8CB61333-8570-42FA-A612-550DB4AE6AF9}" name="PRESSURE CLASS" dataDxfId="47" totalsRowDxfId="18">
      <calculatedColumnFormula>IF(_xlfn.XLOOKUP(Banco_Invoice[[#This Row],[CODE]],[1]!Banco_Itens[ID_ITEM],[1]!Banco_Itens[PRESSURE CLASS],"NO CODE!",0,1)="","⚠",_xlfn.XLOOKUP(Banco_Invoice[[#This Row],[CODE]],[1]!Banco_Itens[ID_ITEM],[1]!Banco_Itens[PRESSURE CLASS],"NO CODE!",0,1))</calculatedColumnFormula>
    </tableColumn>
    <tableColumn id="9" xr3:uid="{32B66F68-4953-402C-9506-62E26BE7E6EF}" name="SIZE 1-0" dataDxfId="46" totalsRowDxfId="17">
      <calculatedColumnFormula>IF(_xlfn.XLOOKUP(Banco_Invoice[[#This Row],[CODE]],[1]!Banco_Itens[ID_ITEM],[1]!Banco_Itens[SIZE 1-0],"NO CODE!",0,1)="","⚠",_xlfn.XLOOKUP(Banco_Invoice[[#This Row],[CODE]],[1]!Banco_Itens[ID_ITEM],[1]!Banco_Itens[SIZE 1-0],"NO CODE!",0,1))</calculatedColumnFormula>
    </tableColumn>
    <tableColumn id="10" xr3:uid="{4AE6407B-AC93-41E9-9456-9C2474DEE39F}" name="SIZE 1-1" dataDxfId="45" totalsRowDxfId="16">
      <calculatedColumnFormula>IF(_xlfn.XLOOKUP(Banco_Invoice[[#This Row],[CODE]],[1]!Banco_Itens[ID_ITEM],[1]!Banco_Itens[SIZE 1-1],"NO CODE!",0,1)="","⚠",_xlfn.XLOOKUP(Banco_Invoice[[#This Row],[CODE]],[1]!Banco_Itens[ID_ITEM],[1]!Banco_Itens[SIZE 1-1],"NO CODE!",0,1))</calculatedColumnFormula>
    </tableColumn>
    <tableColumn id="11" xr3:uid="{EA154E9A-AE14-4DA3-9030-D0757F8918E6}" name="SIZE 2-0" dataDxfId="44" totalsRowDxfId="15">
      <calculatedColumnFormula>IF(_xlfn.XLOOKUP(Banco_Invoice[[#This Row],[CODE]],[1]!Banco_Itens[ID_ITEM],[1]!Banco_Itens[SIZE 2-0],"NO CODE!",0,1)="","⚠",_xlfn.XLOOKUP(Banco_Invoice[[#This Row],[CODE]],[1]!Banco_Itens[ID_ITEM],[1]!Banco_Itens[SIZE 2-0],"NO CODE!",0,1))</calculatedColumnFormula>
    </tableColumn>
    <tableColumn id="12" xr3:uid="{2C146BE0-7AB5-43BA-A473-59C43681DF6F}" name="SIZE 2-1" dataDxfId="43" totalsRowDxfId="14">
      <calculatedColumnFormula>IF(_xlfn.XLOOKUP(Banco_Invoice[[#This Row],[CODE]],[1]!Banco_Itens[ID_ITEM],[1]!Banco_Itens[SIZE 2-1],"NO CODE!",0,1)="","⚠",_xlfn.XLOOKUP(Banco_Invoice[[#This Row],[CODE]],[1]!Banco_Itens[ID_ITEM],[1]!Banco_Itens[SIZE 2-1],"NO CODE!",0,1))</calculatedColumnFormula>
    </tableColumn>
    <tableColumn id="13" xr3:uid="{0CEFEF70-660A-40BD-85E9-1E34551ECAD8}" name="FULL SIZE" dataDxfId="42" totalsRowDxfId="13">
      <calculatedColumnFormula>IF(_xlfn.XLOOKUP(Banco_Invoice[[#This Row],[CODE]],[1]!Banco_Itens[ID_ITEM],[1]!Banco_Itens[FULL SIZE],"NO CODE!",0,1)="","⚠",_xlfn.XLOOKUP(Banco_Invoice[[#This Row],[CODE]],[1]!Banco_Itens[ID_ITEM],[1]!Banco_Itens[FULL SIZE],"NO CODE!",0,1))</calculatedColumnFormula>
    </tableColumn>
    <tableColumn id="14" xr3:uid="{3A61A9D6-884F-40ED-BFAE-D5F6136E66DE}" name="CONNECTION TERMINALS" dataDxfId="41" totalsRowDxfId="12">
      <calculatedColumnFormula>IF(_xlfn.XLOOKUP(Banco_Invoice[[#This Row],[CODE]],[1]!Banco_Itens[ID_ITEM],[1]!Banco_Itens[CONNECTION TERMINAL],"NO CODE!",0,1)="","⚠",_xlfn.XLOOKUP(Banco_Invoice[[#This Row],[CODE]],[1]!Banco_Itens[ID_ITEM],[1]!Banco_Itens[CONNECTION TERMINAL],"NO CODE!",0,1))</calculatedColumnFormula>
    </tableColumn>
    <tableColumn id="25" xr3:uid="{1E5F4ABE-80DD-46FF-9120-71B084130264}" name="CONSTRUCTION / TESTING STANDARDS" dataDxfId="40" totalsRowDxfId="11">
      <calculatedColumnFormula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calculatedColumnFormula>
    </tableColumn>
    <tableColumn id="15" xr3:uid="{6F87E9F6-F7C8-42DD-96D5-6255A7E6F11E}" name="MANUFACTURING DETAILS" dataDxfId="39" totalsRowDxfId="10">
      <calculatedColumnFormula>IF(_xlfn.XLOOKUP(Banco_Invoice[[#This Row],[CODE]],[1]!Banco_Itens[ID_ITEM],[1]!Banco_Itens[MANUFACTURING DETAILS],"NO CODE!",0,1)="","⚠",_xlfn.XLOOKUP(Banco_Invoice[[#This Row],[CODE]],[1]!Banco_Itens[ID_ITEM],[1]!Banco_Itens[MANUFACTURING DETAILS],"NO CODE!",0,1))</calculatedColumnFormula>
    </tableColumn>
    <tableColumn id="16" xr3:uid="{A7D103DB-C4EE-444A-96AB-95BA875AC108}" name="UOM" dataDxfId="38" totalsRowDxfId="9"/>
    <tableColumn id="17" xr3:uid="{D97F0531-49ED-41E4-8A51-40B9E5515B59}" name="QUANTITY / M" totalsRowFunction="sum" dataDxfId="37" totalsRowDxfId="8"/>
    <tableColumn id="19" xr3:uid="{239742BC-0CB3-4B52-A617-5E9989DD6CBB}" name="NET WEIGHT (Kg)" dataDxfId="36" totalsRowDxfId="7"/>
    <tableColumn id="26" xr3:uid="{D2289EB2-AC5B-40B0-9759-E875D066B0DE}" name="TOTAL NET WEIGHT (Kg)" totalsRowFunction="sum" dataDxfId="35" totalsRowDxfId="6">
      <calculatedColumnFormula>Banco_Invoice[[#This Row],[NET WEIGHT (Kg)]]*Banco_Invoice[[#This Row],[QUANTITY / M]]</calculatedColumnFormula>
    </tableColumn>
    <tableColumn id="18" xr3:uid="{54780196-B975-4EE5-9A4F-7133FC6ACA64}" name="ORIGINAL PRICE UNIT. (USD)" dataDxfId="34" totalsRowDxfId="5"/>
    <tableColumn id="20" xr3:uid="{B1C0EE8A-DF31-45FD-8044-9266530376C4}" name="PRICE UNIT. (USD)" dataDxfId="33" totalsRowDxfId="4">
      <calculatedColumnFormula>IF(AND($U$20&gt;0,$U$21&gt;0),Banco_Invoice[[#This Row],[ORIGINAL PRICE UNIT. (USD)]]*(($U$20-$U$21)/$U$20),Banco_Invoice[[#This Row],[ORIGINAL PRICE UNIT. (USD)]])</calculatedColumnFormula>
    </tableColumn>
    <tableColumn id="21" xr3:uid="{9BA78049-80C8-4222-AAA8-E5AFB124E13E}" name="TOTAL PRICE (USD)" totalsRowFunction="sum" dataDxfId="32" totalsRowDxfId="3">
      <calculatedColumnFormula>Banco_Invoice[[#This Row],[PRICE UNIT. (USD)]]*Banco_Invoice[[#This Row],[QUANTITY / M]]</calculatedColumnFormula>
    </tableColumn>
    <tableColumn id="22" xr3:uid="{6A2B2BDD-0F5F-4345-99FF-6BFB973150F6}" name="NCM CODE" dataDxfId="31" totalsRowDxfId="2">
      <calculatedColumnFormula>IF(_xlfn.XLOOKUP(Banco_Invoice[[#This Row],[CODE]],[1]!Banco_Itens[ID_ITEM],[1]!Banco_Itens[NCM],"NO CODE!",0,1)="","⚠",_xlfn.XLOOKUP(Banco_Invoice[[#This Row],[CODE]],[1]!Banco_Itens[ID_ITEM],[1]!Banco_Itens[NCM],"NO CODE!",0,1))</calculatedColumnFormula>
    </tableColumn>
    <tableColumn id="23" xr3:uid="{A98126FC-59E8-4B36-ADCC-EDC044A2BE26}" name="PRODUCT LINE (PT-BR)" dataDxfId="30" totalsRowDxfId="1">
      <calculatedColumnFormula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calculatedColumnFormula>
    </tableColumn>
    <tableColumn id="24" xr3:uid="{81A0CE45-F285-411C-8FF0-FB1E521EDFBC}" name="HEAT NUMBER" dataDxfId="29" totals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763A6-94D3-4E87-9171-5C6687074FFB}">
  <sheetPr>
    <pageSetUpPr fitToPage="1"/>
  </sheetPr>
  <dimension ref="A1:AA117"/>
  <sheetViews>
    <sheetView showGridLines="0" tabSelected="1" topLeftCell="A6" zoomScaleNormal="100" workbookViewId="0">
      <selection activeCell="E40" sqref="E40"/>
    </sheetView>
  </sheetViews>
  <sheetFormatPr defaultColWidth="9.140625" defaultRowHeight="11.25" outlineLevelCol="1"/>
  <cols>
    <col min="1" max="1" width="4.140625" style="2" bestFit="1" customWidth="1"/>
    <col min="2" max="2" width="11.7109375" style="2" bestFit="1" customWidth="1"/>
    <col min="3" max="3" width="5.5703125" style="2" hidden="1" customWidth="1"/>
    <col min="4" max="4" width="56.7109375" style="2" hidden="1" customWidth="1" outlineLevel="1"/>
    <col min="5" max="5" width="35.7109375" style="2" customWidth="1" collapsed="1"/>
    <col min="6" max="6" width="1.140625" style="2" hidden="1" customWidth="1"/>
    <col min="7" max="7" width="19" style="2" bestFit="1" customWidth="1"/>
    <col min="8" max="8" width="12" style="2" hidden="1" customWidth="1"/>
    <col min="9" max="12" width="7.7109375" style="2" hidden="1" customWidth="1" outlineLevel="1"/>
    <col min="13" max="13" width="26.28515625" style="2" bestFit="1" customWidth="1" collapsed="1"/>
    <col min="14" max="14" width="19" style="2" hidden="1" customWidth="1"/>
    <col min="15" max="15" width="18.28515625" style="2" hidden="1" customWidth="1"/>
    <col min="16" max="16" width="16.85546875" style="2" hidden="1" customWidth="1"/>
    <col min="17" max="17" width="4.5703125" style="2" customWidth="1"/>
    <col min="18" max="18" width="7.85546875" style="2" bestFit="1" customWidth="1"/>
    <col min="19" max="19" width="9" style="2" bestFit="1" customWidth="1"/>
    <col min="20" max="20" width="10.7109375" style="2" bestFit="1" customWidth="1"/>
    <col min="21" max="21" width="11.5703125" style="2" hidden="1" customWidth="1" outlineLevel="1"/>
    <col min="22" max="22" width="8.85546875" style="2" bestFit="1" customWidth="1" collapsed="1"/>
    <col min="23" max="23" width="13.7109375" style="2" bestFit="1" customWidth="1"/>
    <col min="24" max="24" width="8.28515625" style="2" bestFit="1" customWidth="1"/>
    <col min="25" max="25" width="22.85546875" style="2" hidden="1" customWidth="1" outlineLevel="1"/>
    <col min="26" max="26" width="9.85546875" style="2" customWidth="1" collapsed="1"/>
    <col min="27" max="16384" width="9.140625" style="2"/>
  </cols>
  <sheetData>
    <row r="1" spans="1:27">
      <c r="A1" s="90"/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</row>
    <row r="2" spans="1:27" ht="26.25">
      <c r="A2" s="91" t="s">
        <v>80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</row>
    <row r="3" spans="1:27" ht="15.75">
      <c r="A3" s="92" t="s">
        <v>81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</row>
    <row r="4" spans="1:27" ht="15.75">
      <c r="A4" s="92" t="s">
        <v>82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</row>
    <row r="5" spans="1:27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7" ht="32.25">
      <c r="A6" s="93" t="s">
        <v>46</v>
      </c>
      <c r="B6" s="93"/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 spans="1:27" ht="9.9499999999999993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7" ht="9.9499999999999993" customHeight="1">
      <c r="A8" s="79" t="s">
        <v>83</v>
      </c>
      <c r="B8" s="79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/>
      <c r="R8"/>
      <c r="S8"/>
      <c r="T8" s="3"/>
      <c r="U8" s="3"/>
      <c r="V8" s="88" t="s">
        <v>0</v>
      </c>
      <c r="W8" s="88"/>
      <c r="X8" s="89" t="s">
        <v>108</v>
      </c>
      <c r="Y8" s="89"/>
      <c r="Z8" s="89"/>
    </row>
    <row r="9" spans="1:27" ht="9.9499999999999993" customHeight="1">
      <c r="A9" s="79"/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/>
      <c r="R9"/>
      <c r="S9"/>
      <c r="T9" s="3"/>
      <c r="U9" s="3"/>
      <c r="V9" s="88"/>
      <c r="W9" s="88"/>
      <c r="X9" s="89"/>
      <c r="Y9" s="89"/>
      <c r="Z9" s="89"/>
    </row>
    <row r="10" spans="1:27" ht="9.9499999999999993" customHeight="1">
      <c r="A10" s="80" t="s">
        <v>84</v>
      </c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/>
      <c r="R10"/>
      <c r="S10"/>
      <c r="T10" s="4"/>
      <c r="U10" s="4"/>
      <c r="V10" s="83" t="s">
        <v>1</v>
      </c>
      <c r="W10" s="64"/>
      <c r="X10" s="84">
        <v>46176</v>
      </c>
      <c r="Y10" s="85"/>
      <c r="Z10" s="85"/>
    </row>
    <row r="11" spans="1:27" ht="9.9499999999999993" customHeight="1">
      <c r="A11" s="80"/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/>
      <c r="R11"/>
      <c r="S11"/>
      <c r="T11" s="4"/>
      <c r="U11" s="4"/>
      <c r="V11" s="64"/>
      <c r="W11" s="64"/>
      <c r="X11" s="85"/>
      <c r="Y11" s="85"/>
      <c r="Z11" s="85"/>
    </row>
    <row r="12" spans="1:27" ht="9.9499999999999993" customHeight="1">
      <c r="A12" s="80"/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/>
      <c r="R12"/>
      <c r="S12"/>
      <c r="T12" s="5"/>
      <c r="U12" s="5"/>
      <c r="V12" s="86" t="s">
        <v>2</v>
      </c>
      <c r="W12" s="86"/>
      <c r="X12" s="87" t="s">
        <v>109</v>
      </c>
      <c r="Y12" s="87"/>
      <c r="Z12" s="87"/>
    </row>
    <row r="13" spans="1:27" ht="9.9499999999999993" customHeight="1">
      <c r="A13" s="80"/>
      <c r="B13" s="80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/>
      <c r="R13"/>
      <c r="S13"/>
      <c r="T13" s="5"/>
      <c r="U13" s="5"/>
      <c r="V13" s="86"/>
      <c r="W13" s="86"/>
      <c r="X13" s="87"/>
      <c r="Y13" s="87"/>
      <c r="Z13" s="87"/>
    </row>
    <row r="14" spans="1:27" ht="9.9499999999999993" customHeight="1">
      <c r="A14" s="6"/>
      <c r="B14" s="6"/>
      <c r="C14" s="6"/>
      <c r="D14" s="6"/>
      <c r="E14" s="6"/>
      <c r="F14" s="6"/>
      <c r="G14" s="6"/>
      <c r="H14" s="1"/>
      <c r="I14" s="1"/>
      <c r="J14" s="1"/>
      <c r="K14" s="1"/>
      <c r="L14" s="1"/>
      <c r="M14"/>
      <c r="N14"/>
      <c r="O14"/>
      <c r="P14"/>
      <c r="Q14"/>
      <c r="R14"/>
      <c r="S14"/>
      <c r="T14" s="5"/>
      <c r="U14" s="5"/>
      <c r="V14" s="1"/>
      <c r="W14" s="1"/>
      <c r="X14" s="1"/>
      <c r="Y14" s="1"/>
      <c r="Z14" s="1"/>
    </row>
    <row r="15" spans="1:27" ht="9.9499999999999993" customHeight="1">
      <c r="A15" s="78" t="s">
        <v>107</v>
      </c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/>
      <c r="R15"/>
      <c r="S15"/>
      <c r="T15"/>
      <c r="U15"/>
      <c r="V15"/>
      <c r="W15"/>
      <c r="X15"/>
      <c r="Y15"/>
      <c r="Z15"/>
      <c r="AA15"/>
    </row>
    <row r="16" spans="1:27" ht="9.9499999999999993" customHeight="1">
      <c r="A16" s="79"/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/>
      <c r="R16"/>
      <c r="S16"/>
      <c r="T16"/>
      <c r="U16"/>
      <c r="V16"/>
      <c r="W16"/>
      <c r="X16"/>
      <c r="Y16"/>
      <c r="Z16"/>
      <c r="AA16"/>
    </row>
    <row r="17" spans="1:27" ht="9.9499999999999993" customHeight="1">
      <c r="A17" s="80" t="s">
        <v>85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/>
      <c r="R17"/>
      <c r="S17"/>
      <c r="T17"/>
      <c r="U17"/>
      <c r="V17"/>
      <c r="W17"/>
      <c r="X17"/>
      <c r="Y17"/>
      <c r="Z17"/>
      <c r="AA17"/>
    </row>
    <row r="18" spans="1:27" ht="9.9499999999999993" customHeight="1">
      <c r="A18" s="80"/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/>
      <c r="R18"/>
      <c r="S18"/>
      <c r="T18"/>
      <c r="U18"/>
      <c r="V18"/>
      <c r="W18"/>
      <c r="X18"/>
      <c r="Y18"/>
      <c r="Z18"/>
      <c r="AA18"/>
    </row>
    <row r="19" spans="1:27" ht="9.9499999999999993" customHeight="1">
      <c r="A19" s="80"/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/>
      <c r="R19"/>
      <c r="S19"/>
      <c r="T19"/>
      <c r="U19"/>
      <c r="V19"/>
      <c r="W19"/>
      <c r="X19"/>
      <c r="Y19"/>
      <c r="Z19"/>
      <c r="AA19"/>
    </row>
    <row r="20" spans="1:27" ht="9.9499999999999993" customHeight="1">
      <c r="A20" s="80"/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/>
      <c r="R20"/>
      <c r="S20"/>
      <c r="T20"/>
      <c r="U20" s="7">
        <v>0</v>
      </c>
      <c r="V20"/>
      <c r="W20"/>
      <c r="X20"/>
      <c r="Y20"/>
      <c r="Z20"/>
      <c r="AA20"/>
    </row>
    <row r="21" spans="1:27" ht="9.9499999999999993" customHeight="1">
      <c r="M21"/>
      <c r="N21"/>
      <c r="O21"/>
      <c r="P21"/>
      <c r="Q21"/>
      <c r="R21"/>
      <c r="S21"/>
      <c r="T21"/>
      <c r="U21" s="8">
        <v>0</v>
      </c>
      <c r="V21"/>
      <c r="W21"/>
      <c r="X21"/>
      <c r="Y21"/>
      <c r="Z21"/>
      <c r="AA21"/>
    </row>
    <row r="22" spans="1:27" ht="12" thickBot="1">
      <c r="B22" s="1" t="s">
        <v>3</v>
      </c>
      <c r="C22" s="1" t="s">
        <v>3</v>
      </c>
      <c r="R22" s="1" t="s">
        <v>3</v>
      </c>
      <c r="S22" s="1" t="s">
        <v>3</v>
      </c>
      <c r="U22" s="1" t="s">
        <v>3</v>
      </c>
      <c r="V22" s="1"/>
      <c r="Z22" s="1" t="s">
        <v>3</v>
      </c>
    </row>
    <row r="23" spans="1:27" ht="24.95" customHeight="1" thickBot="1">
      <c r="A23" s="9" t="s">
        <v>4</v>
      </c>
      <c r="B23" s="10" t="s">
        <v>5</v>
      </c>
      <c r="C23" s="10" t="s">
        <v>6</v>
      </c>
      <c r="D23" s="10" t="s">
        <v>7</v>
      </c>
      <c r="E23" s="10" t="s">
        <v>8</v>
      </c>
      <c r="F23" s="10" t="s">
        <v>9</v>
      </c>
      <c r="G23" s="10" t="s">
        <v>10</v>
      </c>
      <c r="H23" s="10" t="s">
        <v>11</v>
      </c>
      <c r="I23" s="10" t="s">
        <v>12</v>
      </c>
      <c r="J23" s="10" t="s">
        <v>13</v>
      </c>
      <c r="K23" s="10" t="s">
        <v>14</v>
      </c>
      <c r="L23" s="10" t="s">
        <v>15</v>
      </c>
      <c r="M23" s="10" t="s">
        <v>16</v>
      </c>
      <c r="N23" s="10" t="s">
        <v>17</v>
      </c>
      <c r="O23" s="10" t="s">
        <v>18</v>
      </c>
      <c r="P23" s="10" t="s">
        <v>19</v>
      </c>
      <c r="Q23" s="10" t="s">
        <v>20</v>
      </c>
      <c r="R23" s="10" t="s">
        <v>79</v>
      </c>
      <c r="S23" s="10" t="s">
        <v>21</v>
      </c>
      <c r="T23" s="11" t="s">
        <v>22</v>
      </c>
      <c r="U23" s="10" t="s">
        <v>23</v>
      </c>
      <c r="V23" s="10" t="s">
        <v>24</v>
      </c>
      <c r="W23" s="10" t="s">
        <v>25</v>
      </c>
      <c r="X23" s="10" t="s">
        <v>26</v>
      </c>
      <c r="Y23" s="10" t="s">
        <v>27</v>
      </c>
      <c r="Z23" s="12" t="s">
        <v>28</v>
      </c>
    </row>
    <row r="24" spans="1:27">
      <c r="A24" s="13">
        <v>1</v>
      </c>
      <c r="B24" s="14" t="s">
        <v>47</v>
      </c>
      <c r="C24" s="13"/>
      <c r="D24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24" s="15" t="s">
        <v>62</v>
      </c>
      <c r="F24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24" s="13">
        <v>304</v>
      </c>
      <c r="H24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24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24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24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24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24" s="13" t="s">
        <v>63</v>
      </c>
      <c r="N24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24" s="13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24" s="13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24" s="13" t="s">
        <v>78</v>
      </c>
      <c r="R24" s="14">
        <v>240</v>
      </c>
      <c r="S24" s="16">
        <v>0.65154374999999998</v>
      </c>
      <c r="T24" s="17">
        <f>Banco_Invoice[[#This Row],[NET WEIGHT (Kg)]]*Banco_Invoice[[#This Row],[QUANTITY / M]]</f>
        <v>156.37049999999999</v>
      </c>
      <c r="U24" s="18">
        <v>1.83</v>
      </c>
      <c r="V24" s="18">
        <f>IF(AND($U$20&gt;0,$U$21&gt;0),Banco_Invoice[[#This Row],[ORIGINAL PRICE UNIT. (USD)]]*(($U$20-$U$21)/$U$20),Banco_Invoice[[#This Row],[ORIGINAL PRICE UNIT. (USD)]])</f>
        <v>1.83</v>
      </c>
      <c r="W24" s="19">
        <f>Banco_Invoice[[#This Row],[PRICE UNIT. (USD)]]*Banco_Invoice[[#This Row],[QUANTITY / M]]</f>
        <v>439.20000000000005</v>
      </c>
      <c r="X24" s="13">
        <v>73064000</v>
      </c>
      <c r="Y24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24" s="20" t="s">
        <v>110</v>
      </c>
    </row>
    <row r="25" spans="1:27">
      <c r="A25" s="21">
        <v>2</v>
      </c>
      <c r="B25" s="22" t="s">
        <v>48</v>
      </c>
      <c r="C25" s="21"/>
      <c r="D25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25" s="15" t="s">
        <v>62</v>
      </c>
      <c r="F25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25" s="13">
        <v>304</v>
      </c>
      <c r="H25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25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25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25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25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25" s="13" t="s">
        <v>64</v>
      </c>
      <c r="N25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25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25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25" s="13" t="s">
        <v>78</v>
      </c>
      <c r="R25" s="23">
        <v>1680</v>
      </c>
      <c r="S25" s="24">
        <v>0.8872874999999999</v>
      </c>
      <c r="T25" s="25">
        <f>Banco_Invoice[[#This Row],[NET WEIGHT (Kg)]]*Banco_Invoice[[#This Row],[QUANTITY / M]]</f>
        <v>1490.6429999999998</v>
      </c>
      <c r="U25" s="26">
        <v>2.4500000000000002</v>
      </c>
      <c r="V25" s="26">
        <f>IF(AND($U$20&gt;0,$U$21&gt;0),Banco_Invoice[[#This Row],[ORIGINAL PRICE UNIT. (USD)]]*(($U$20-$U$21)/$U$20),Banco_Invoice[[#This Row],[ORIGINAL PRICE UNIT. (USD)]])</f>
        <v>2.4500000000000002</v>
      </c>
      <c r="W25" s="27">
        <f>Banco_Invoice[[#This Row],[PRICE UNIT. (USD)]]*Banco_Invoice[[#This Row],[QUANTITY / M]]</f>
        <v>4116</v>
      </c>
      <c r="X25" s="13">
        <v>73064000</v>
      </c>
      <c r="Y25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25" s="20" t="s">
        <v>110</v>
      </c>
    </row>
    <row r="26" spans="1:27">
      <c r="A26" s="21">
        <v>3</v>
      </c>
      <c r="B26" s="22" t="s">
        <v>49</v>
      </c>
      <c r="C26" s="21"/>
      <c r="D26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26" s="15" t="s">
        <v>62</v>
      </c>
      <c r="F26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26" s="13">
        <v>304</v>
      </c>
      <c r="H26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26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26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26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26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26" s="13" t="s">
        <v>65</v>
      </c>
      <c r="N26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26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26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26" s="13" t="s">
        <v>78</v>
      </c>
      <c r="R26" s="23">
        <v>270</v>
      </c>
      <c r="S26" s="24">
        <v>1.1230312500000001</v>
      </c>
      <c r="T26" s="25">
        <f>Banco_Invoice[[#This Row],[NET WEIGHT (Kg)]]*Banco_Invoice[[#This Row],[QUANTITY / M]]</f>
        <v>303.21843750000005</v>
      </c>
      <c r="U26" s="26">
        <v>3.06</v>
      </c>
      <c r="V26" s="26">
        <f>IF(AND($U$20&gt;0,$U$21&gt;0),Banco_Invoice[[#This Row],[ORIGINAL PRICE UNIT. (USD)]]*(($U$20-$U$21)/$U$20),Banco_Invoice[[#This Row],[ORIGINAL PRICE UNIT. (USD)]])</f>
        <v>3.06</v>
      </c>
      <c r="W26" s="27">
        <f>Banco_Invoice[[#This Row],[PRICE UNIT. (USD)]]*Banco_Invoice[[#This Row],[QUANTITY / M]]</f>
        <v>826.2</v>
      </c>
      <c r="X26" s="13">
        <v>73064000</v>
      </c>
      <c r="Y26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26" s="20" t="s">
        <v>110</v>
      </c>
    </row>
    <row r="27" spans="1:27">
      <c r="A27" s="13">
        <v>4</v>
      </c>
      <c r="B27" s="22" t="s">
        <v>50</v>
      </c>
      <c r="C27" s="21"/>
      <c r="D27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27" s="15" t="s">
        <v>62</v>
      </c>
      <c r="F27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27" s="13">
        <v>304</v>
      </c>
      <c r="H27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27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27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27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27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27" s="13" t="s">
        <v>66</v>
      </c>
      <c r="N27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27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27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27" s="13" t="s">
        <v>78</v>
      </c>
      <c r="R27" s="23">
        <v>1860</v>
      </c>
      <c r="S27" s="24">
        <v>1.3587750000000003</v>
      </c>
      <c r="T27" s="25">
        <f>Banco_Invoice[[#This Row],[NET WEIGHT (Kg)]]*Banco_Invoice[[#This Row],[QUANTITY / M]]</f>
        <v>2527.3215000000005</v>
      </c>
      <c r="U27" s="26">
        <v>3.64</v>
      </c>
      <c r="V27" s="26">
        <f>IF(AND($U$20&gt;0,$U$21&gt;0),Banco_Invoice[[#This Row],[ORIGINAL PRICE UNIT. (USD)]]*(($U$20-$U$21)/$U$20),Banco_Invoice[[#This Row],[ORIGINAL PRICE UNIT. (USD)]])</f>
        <v>3.64</v>
      </c>
      <c r="W27" s="27">
        <f>Banco_Invoice[[#This Row],[PRICE UNIT. (USD)]]*Banco_Invoice[[#This Row],[QUANTITY / M]]</f>
        <v>6770.4000000000005</v>
      </c>
      <c r="X27" s="13">
        <v>73064000</v>
      </c>
      <c r="Y27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27" s="20" t="s">
        <v>110</v>
      </c>
    </row>
    <row r="28" spans="1:27">
      <c r="A28" s="21">
        <v>5</v>
      </c>
      <c r="B28" s="22" t="s">
        <v>51</v>
      </c>
      <c r="C28" s="21"/>
      <c r="D28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28" s="15" t="s">
        <v>62</v>
      </c>
      <c r="F28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28" s="13">
        <v>304</v>
      </c>
      <c r="H28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28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28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28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28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28" s="13" t="s">
        <v>67</v>
      </c>
      <c r="N28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28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28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28" s="13" t="s">
        <v>78</v>
      </c>
      <c r="R28" s="23">
        <v>5100</v>
      </c>
      <c r="S28" s="24">
        <v>1.8302624999999999</v>
      </c>
      <c r="T28" s="25">
        <f>Banco_Invoice[[#This Row],[NET WEIGHT (Kg)]]*Banco_Invoice[[#This Row],[QUANTITY / M]]</f>
        <v>9334.338749999999</v>
      </c>
      <c r="U28" s="26">
        <v>4.9000000000000004</v>
      </c>
      <c r="V28" s="26">
        <f>IF(AND($U$20&gt;0,$U$21&gt;0),Banco_Invoice[[#This Row],[ORIGINAL PRICE UNIT. (USD)]]*(($U$20-$U$21)/$U$20),Banco_Invoice[[#This Row],[ORIGINAL PRICE UNIT. (USD)]])</f>
        <v>4.9000000000000004</v>
      </c>
      <c r="W28" s="27">
        <f>Banco_Invoice[[#This Row],[PRICE UNIT. (USD)]]*Banco_Invoice[[#This Row],[QUANTITY / M]]</f>
        <v>24990</v>
      </c>
      <c r="X28" s="13">
        <v>73064000</v>
      </c>
      <c r="Y28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28" s="20" t="s">
        <v>110</v>
      </c>
    </row>
    <row r="29" spans="1:27">
      <c r="A29" s="21">
        <v>6</v>
      </c>
      <c r="B29" s="22" t="s">
        <v>52</v>
      </c>
      <c r="C29" s="21"/>
      <c r="D29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29" s="15" t="s">
        <v>62</v>
      </c>
      <c r="F29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29" s="13">
        <v>304</v>
      </c>
      <c r="H29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29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29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29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29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29" s="13" t="s">
        <v>68</v>
      </c>
      <c r="N29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29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29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29" s="13" t="s">
        <v>78</v>
      </c>
      <c r="R29" s="23">
        <v>240</v>
      </c>
      <c r="S29" s="24">
        <v>2.3017500000000002</v>
      </c>
      <c r="T29" s="25">
        <f>Banco_Invoice[[#This Row],[NET WEIGHT (Kg)]]*Banco_Invoice[[#This Row],[QUANTITY / M]]</f>
        <v>552.42000000000007</v>
      </c>
      <c r="U29" s="26">
        <v>6.16</v>
      </c>
      <c r="V29" s="26">
        <f>IF(AND($U$20&gt;0,$U$21&gt;0),Banco_Invoice[[#This Row],[ORIGINAL PRICE UNIT. (USD)]]*(($U$20-$U$21)/$U$20),Banco_Invoice[[#This Row],[ORIGINAL PRICE UNIT. (USD)]])</f>
        <v>6.16</v>
      </c>
      <c r="W29" s="27">
        <f>Banco_Invoice[[#This Row],[PRICE UNIT. (USD)]]*Banco_Invoice[[#This Row],[QUANTITY / M]]</f>
        <v>1478.4</v>
      </c>
      <c r="X29" s="13">
        <v>73064000</v>
      </c>
      <c r="Y29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29" s="20" t="s">
        <v>110</v>
      </c>
    </row>
    <row r="30" spans="1:27">
      <c r="A30" s="13">
        <v>7</v>
      </c>
      <c r="B30" s="22" t="s">
        <v>53</v>
      </c>
      <c r="C30" s="21"/>
      <c r="D30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30" s="15" t="s">
        <v>62</v>
      </c>
      <c r="F30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30" s="13">
        <v>304</v>
      </c>
      <c r="H30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30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30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30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30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30" s="13" t="s">
        <v>69</v>
      </c>
      <c r="N30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30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30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30" s="13" t="s">
        <v>78</v>
      </c>
      <c r="R30" s="23">
        <v>750</v>
      </c>
      <c r="S30" s="24">
        <v>2.7732375000000005</v>
      </c>
      <c r="T30" s="25">
        <f>Banco_Invoice[[#This Row],[NET WEIGHT (Kg)]]*Banco_Invoice[[#This Row],[QUANTITY / M]]</f>
        <v>2079.9281250000004</v>
      </c>
      <c r="U30" s="26">
        <v>7.41</v>
      </c>
      <c r="V30" s="26">
        <f>IF(AND($U$20&gt;0,$U$21&gt;0),Banco_Invoice[[#This Row],[ORIGINAL PRICE UNIT. (USD)]]*(($U$20-$U$21)/$U$20),Banco_Invoice[[#This Row],[ORIGINAL PRICE UNIT. (USD)]])</f>
        <v>7.41</v>
      </c>
      <c r="W30" s="27">
        <f>Banco_Invoice[[#This Row],[PRICE UNIT. (USD)]]*Banco_Invoice[[#This Row],[QUANTITY / M]]</f>
        <v>5557.5</v>
      </c>
      <c r="X30" s="13">
        <v>73064000</v>
      </c>
      <c r="Y30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30" s="20" t="s">
        <v>110</v>
      </c>
    </row>
    <row r="31" spans="1:27">
      <c r="A31" s="21">
        <v>8</v>
      </c>
      <c r="B31" s="22" t="s">
        <v>55</v>
      </c>
      <c r="C31" s="21"/>
      <c r="D31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31" s="15" t="s">
        <v>62</v>
      </c>
      <c r="F31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31" s="13">
        <v>304</v>
      </c>
      <c r="H31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31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31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31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31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31" s="13" t="s">
        <v>71</v>
      </c>
      <c r="N31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31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31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31" s="13" t="s">
        <v>78</v>
      </c>
      <c r="R31" s="23">
        <v>480</v>
      </c>
      <c r="S31" s="24">
        <v>3.7162124999999997</v>
      </c>
      <c r="T31" s="25">
        <f>Banco_Invoice[[#This Row],[NET WEIGHT (Kg)]]*Banco_Invoice[[#This Row],[QUANTITY / M]]</f>
        <v>1783.7819999999999</v>
      </c>
      <c r="U31" s="26">
        <v>9.93</v>
      </c>
      <c r="V31" s="26">
        <f>IF(AND($U$20&gt;0,$U$21&gt;0),Banco_Invoice[[#This Row],[ORIGINAL PRICE UNIT. (USD)]]*(($U$20-$U$21)/$U$20),Banco_Invoice[[#This Row],[ORIGINAL PRICE UNIT. (USD)]])</f>
        <v>9.93</v>
      </c>
      <c r="W31" s="27">
        <f>Banco_Invoice[[#This Row],[PRICE UNIT. (USD)]]*Banco_Invoice[[#This Row],[QUANTITY / M]]</f>
        <v>4766.3999999999996</v>
      </c>
      <c r="X31" s="13">
        <v>73064000</v>
      </c>
      <c r="Y31" s="21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31" s="20" t="s">
        <v>110</v>
      </c>
    </row>
    <row r="32" spans="1:27">
      <c r="A32" s="21">
        <v>9</v>
      </c>
      <c r="B32" s="22" t="s">
        <v>54</v>
      </c>
      <c r="C32" s="21"/>
      <c r="D32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32" s="15" t="s">
        <v>62</v>
      </c>
      <c r="F32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32" s="13">
        <v>304</v>
      </c>
      <c r="H32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32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32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32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32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32" s="13" t="s">
        <v>70</v>
      </c>
      <c r="N32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32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32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32" s="13" t="s">
        <v>78</v>
      </c>
      <c r="R32" s="23">
        <v>780</v>
      </c>
      <c r="S32" s="24">
        <v>3.6729000000000003</v>
      </c>
      <c r="T32" s="25">
        <f>Banco_Invoice[[#This Row],[NET WEIGHT (Kg)]]*Banco_Invoice[[#This Row],[QUANTITY / M]]</f>
        <v>2864.8620000000001</v>
      </c>
      <c r="U32" s="26">
        <v>9.83</v>
      </c>
      <c r="V32" s="26">
        <f>IF(AND($U$20&gt;0,$U$21&gt;0),Banco_Invoice[[#This Row],[ORIGINAL PRICE UNIT. (USD)]]*(($U$20-$U$21)/$U$20),Banco_Invoice[[#This Row],[ORIGINAL PRICE UNIT. (USD)]])</f>
        <v>9.83</v>
      </c>
      <c r="W32" s="27">
        <f>Banco_Invoice[[#This Row],[PRICE UNIT. (USD)]]*Banco_Invoice[[#This Row],[QUANTITY / M]]</f>
        <v>7667.4</v>
      </c>
      <c r="X32" s="13">
        <v>73064000</v>
      </c>
      <c r="Y32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32" s="20" t="s">
        <v>111</v>
      </c>
    </row>
    <row r="33" spans="1:26">
      <c r="A33" s="13">
        <v>10</v>
      </c>
      <c r="B33" s="22" t="s">
        <v>56</v>
      </c>
      <c r="C33" s="21"/>
      <c r="D33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33" s="15" t="s">
        <v>62</v>
      </c>
      <c r="F33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33" s="13">
        <v>304</v>
      </c>
      <c r="H33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33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33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33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33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33" s="13" t="s">
        <v>72</v>
      </c>
      <c r="N33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33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33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33" s="13" t="s">
        <v>78</v>
      </c>
      <c r="R33" s="23">
        <v>540</v>
      </c>
      <c r="S33" s="24">
        <v>4.9302000000000001</v>
      </c>
      <c r="T33" s="25">
        <f>Banco_Invoice[[#This Row],[NET WEIGHT (Kg)]]*Banco_Invoice[[#This Row],[QUANTITY / M]]</f>
        <v>2662.308</v>
      </c>
      <c r="U33" s="26">
        <v>13.18</v>
      </c>
      <c r="V33" s="26">
        <f>IF(AND($U$20&gt;0,$U$21&gt;0),Banco_Invoice[[#This Row],[ORIGINAL PRICE UNIT. (USD)]]*(($U$20-$U$21)/$U$20),Banco_Invoice[[#This Row],[ORIGINAL PRICE UNIT. (USD)]])</f>
        <v>13.18</v>
      </c>
      <c r="W33" s="27">
        <f>Banco_Invoice[[#This Row],[PRICE UNIT. (USD)]]*Banco_Invoice[[#This Row],[QUANTITY / M]]</f>
        <v>7117.2</v>
      </c>
      <c r="X33" s="13">
        <v>73064000</v>
      </c>
      <c r="Y33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33" s="20" t="s">
        <v>111</v>
      </c>
    </row>
    <row r="34" spans="1:26">
      <c r="A34" s="21">
        <v>11</v>
      </c>
      <c r="B34" s="22" t="s">
        <v>57</v>
      </c>
      <c r="C34" s="21"/>
      <c r="D34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34" s="15" t="s">
        <v>62</v>
      </c>
      <c r="F34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34" s="13">
        <v>304</v>
      </c>
      <c r="H34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34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34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34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34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34" s="13" t="s">
        <v>73</v>
      </c>
      <c r="N34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34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34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34" s="13" t="s">
        <v>78</v>
      </c>
      <c r="R34" s="23">
        <v>90</v>
      </c>
      <c r="S34" s="24">
        <v>6.1875</v>
      </c>
      <c r="T34" s="25">
        <f>Banco_Invoice[[#This Row],[NET WEIGHT (Kg)]]*Banco_Invoice[[#This Row],[QUANTITY / M]]</f>
        <v>556.875</v>
      </c>
      <c r="U34" s="26">
        <v>16.54</v>
      </c>
      <c r="V34" s="26">
        <f>IF(AND($U$20&gt;0,$U$21&gt;0),Banco_Invoice[[#This Row],[ORIGINAL PRICE UNIT. (USD)]]*(($U$20-$U$21)/$U$20),Banco_Invoice[[#This Row],[ORIGINAL PRICE UNIT. (USD)]])</f>
        <v>16.54</v>
      </c>
      <c r="W34" s="27">
        <f>Banco_Invoice[[#This Row],[PRICE UNIT. (USD)]]*Banco_Invoice[[#This Row],[QUANTITY / M]]</f>
        <v>1488.6</v>
      </c>
      <c r="X34" s="13">
        <v>73064000</v>
      </c>
      <c r="Y34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34" s="20" t="s">
        <v>111</v>
      </c>
    </row>
    <row r="35" spans="1:26">
      <c r="A35" s="21">
        <v>12</v>
      </c>
      <c r="B35" s="22" t="s">
        <v>58</v>
      </c>
      <c r="C35" s="21"/>
      <c r="D35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35" s="15" t="s">
        <v>62</v>
      </c>
      <c r="F35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35" s="13">
        <v>304</v>
      </c>
      <c r="H35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35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35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35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35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35" s="13" t="s">
        <v>74</v>
      </c>
      <c r="N35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35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35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35" s="13" t="s">
        <v>78</v>
      </c>
      <c r="R35" s="23">
        <v>210</v>
      </c>
      <c r="S35" s="24">
        <v>7.4448000000000008</v>
      </c>
      <c r="T35" s="25">
        <f>Banco_Invoice[[#This Row],[NET WEIGHT (Kg)]]*Banco_Invoice[[#This Row],[QUANTITY / M]]</f>
        <v>1563.4080000000001</v>
      </c>
      <c r="U35" s="26">
        <v>19.89</v>
      </c>
      <c r="V35" s="26">
        <f>IF(AND($U$20&gt;0,$U$21&gt;0),Banco_Invoice[[#This Row],[ORIGINAL PRICE UNIT. (USD)]]*(($U$20-$U$21)/$U$20),Banco_Invoice[[#This Row],[ORIGINAL PRICE UNIT. (USD)]])</f>
        <v>19.89</v>
      </c>
      <c r="W35" s="27">
        <f>Banco_Invoice[[#This Row],[PRICE UNIT. (USD)]]*Banco_Invoice[[#This Row],[QUANTITY / M]]</f>
        <v>4176.9000000000005</v>
      </c>
      <c r="X35" s="13">
        <v>73064000</v>
      </c>
      <c r="Y35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35" s="20" t="s">
        <v>111</v>
      </c>
    </row>
    <row r="36" spans="1:26">
      <c r="A36" s="13">
        <v>13</v>
      </c>
      <c r="B36" s="22" t="s">
        <v>59</v>
      </c>
      <c r="C36" s="21"/>
      <c r="D36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36" s="15" t="s">
        <v>62</v>
      </c>
      <c r="F36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36" s="13">
        <v>304</v>
      </c>
      <c r="H36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36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36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36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36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36" s="13" t="s">
        <v>75</v>
      </c>
      <c r="N36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36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36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36" s="13" t="s">
        <v>78</v>
      </c>
      <c r="R36" s="23">
        <v>120</v>
      </c>
      <c r="S36" s="24">
        <v>1.583</v>
      </c>
      <c r="T36" s="25">
        <f>Banco_Invoice[[#This Row],[NET WEIGHT (Kg)]]*Banco_Invoice[[#This Row],[QUANTITY / M]]</f>
        <v>189.96</v>
      </c>
      <c r="U36" s="26">
        <v>3</v>
      </c>
      <c r="V36" s="26">
        <f>IF(AND($U$20&gt;0,$U$21&gt;0),Banco_Invoice[[#This Row],[ORIGINAL PRICE UNIT. (USD)]]*(($U$20-$U$21)/$U$20),Banco_Invoice[[#This Row],[ORIGINAL PRICE UNIT. (USD)]])</f>
        <v>3</v>
      </c>
      <c r="W36" s="27">
        <f>Banco_Invoice[[#This Row],[PRICE UNIT. (USD)]]*Banco_Invoice[[#This Row],[QUANTITY / M]]</f>
        <v>360</v>
      </c>
      <c r="X36" s="13">
        <v>73064000</v>
      </c>
      <c r="Y36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36" s="20" t="s">
        <v>111</v>
      </c>
    </row>
    <row r="37" spans="1:26">
      <c r="A37" s="21">
        <v>14</v>
      </c>
      <c r="B37" s="22" t="s">
        <v>60</v>
      </c>
      <c r="C37" s="21"/>
      <c r="D37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37" s="15" t="s">
        <v>62</v>
      </c>
      <c r="F37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37" s="13">
        <v>304</v>
      </c>
      <c r="H37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37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37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37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37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37" s="13" t="s">
        <v>76</v>
      </c>
      <c r="N37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37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37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37" s="13" t="s">
        <v>78</v>
      </c>
      <c r="R37" s="23">
        <v>180</v>
      </c>
      <c r="S37" s="24">
        <v>1.7869999999999999</v>
      </c>
      <c r="T37" s="25">
        <f>Banco_Invoice[[#This Row],[NET WEIGHT (Kg)]]*Banco_Invoice[[#This Row],[QUANTITY / M]]</f>
        <v>321.65999999999997</v>
      </c>
      <c r="U37" s="26">
        <v>4.62</v>
      </c>
      <c r="V37" s="26">
        <f>IF(AND($U$20&gt;0,$U$21&gt;0),Banco_Invoice[[#This Row],[ORIGINAL PRICE UNIT. (USD)]]*(($U$20-$U$21)/$U$20),Banco_Invoice[[#This Row],[ORIGINAL PRICE UNIT. (USD)]])</f>
        <v>4.62</v>
      </c>
      <c r="W37" s="27">
        <f>Banco_Invoice[[#This Row],[PRICE UNIT. (USD)]]*Banco_Invoice[[#This Row],[QUANTITY / M]]</f>
        <v>831.6</v>
      </c>
      <c r="X37" s="13">
        <v>73064000</v>
      </c>
      <c r="Y37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37" s="20" t="s">
        <v>111</v>
      </c>
    </row>
    <row r="38" spans="1:26" ht="12" thickBot="1">
      <c r="A38" s="21">
        <v>15</v>
      </c>
      <c r="B38" s="22" t="s">
        <v>61</v>
      </c>
      <c r="C38" s="21"/>
      <c r="D38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38" s="15" t="s">
        <v>62</v>
      </c>
      <c r="F38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38" s="13">
        <v>304</v>
      </c>
      <c r="H38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38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38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38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38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38" s="13" t="s">
        <v>77</v>
      </c>
      <c r="N38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38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38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38" s="13" t="s">
        <v>78</v>
      </c>
      <c r="R38" s="23">
        <v>180</v>
      </c>
      <c r="S38" s="24">
        <v>2.4156</v>
      </c>
      <c r="T38" s="25">
        <f>Banco_Invoice[[#This Row],[NET WEIGHT (Kg)]]*Banco_Invoice[[#This Row],[QUANTITY / M]]</f>
        <v>434.80799999999999</v>
      </c>
      <c r="U38" s="26">
        <v>6.24</v>
      </c>
      <c r="V38" s="26">
        <f>IF(AND($U$20&gt;0,$U$21&gt;0),Banco_Invoice[[#This Row],[ORIGINAL PRICE UNIT. (USD)]]*(($U$20-$U$21)/$U$20),Banco_Invoice[[#This Row],[ORIGINAL PRICE UNIT. (USD)]])</f>
        <v>6.24</v>
      </c>
      <c r="W38" s="27">
        <f>Banco_Invoice[[#This Row],[PRICE UNIT. (USD)]]*Banco_Invoice[[#This Row],[QUANTITY / M]]</f>
        <v>1123.2</v>
      </c>
      <c r="X38" s="13">
        <v>73064000</v>
      </c>
      <c r="Y38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38" s="20" t="s">
        <v>111</v>
      </c>
    </row>
    <row r="39" spans="1:26" ht="16.5" thickBot="1">
      <c r="A39" s="28"/>
      <c r="B39" s="29" t="s">
        <v>29</v>
      </c>
      <c r="C39" s="30"/>
      <c r="D39" s="31"/>
      <c r="E39" s="31"/>
      <c r="F39" s="31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2">
        <f>SUBTOTAL(109,Banco_Invoice[QUANTITY / M])</f>
        <v>12720</v>
      </c>
      <c r="S39" s="29"/>
      <c r="T39" s="33">
        <f>SUBTOTAL(109,Banco_Invoice[TOTAL NET WEIGHT (Kg)])</f>
        <v>26821.903312499999</v>
      </c>
      <c r="U39" s="34"/>
      <c r="V39" s="35"/>
      <c r="W39" s="36">
        <f>SUBTOTAL(109,Banco_Invoice[TOTAL PRICE (USD)])</f>
        <v>71709</v>
      </c>
      <c r="X39" s="30"/>
      <c r="Y39" s="30"/>
      <c r="Z39" s="37"/>
    </row>
    <row r="41" spans="1:26">
      <c r="A41" s="66" t="s">
        <v>30</v>
      </c>
      <c r="B41" s="66"/>
      <c r="C41" s="81" t="str">
        <f>Banco_Invoice[[#Totals],[QUANTITY / M]]&amp;" METERS"</f>
        <v>12720 METERS</v>
      </c>
      <c r="D41" s="81"/>
      <c r="E41" s="81"/>
      <c r="F41" s="81"/>
      <c r="G41" s="81"/>
      <c r="H41" s="82" t="s">
        <v>31</v>
      </c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</row>
    <row r="42" spans="1:26">
      <c r="A42" s="66"/>
      <c r="B42" s="66"/>
      <c r="C42" s="81"/>
      <c r="D42" s="81"/>
      <c r="E42" s="81"/>
      <c r="F42" s="81"/>
      <c r="G42" s="81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</row>
    <row r="43" spans="1:26">
      <c r="A43" s="66" t="s">
        <v>32</v>
      </c>
      <c r="B43" s="66"/>
      <c r="C43" s="67" t="str">
        <f>Banco_Invoice[[#Totals],[TOTAL NET WEIGHT (Kg)]]&amp;" KGS"</f>
        <v>26821,9033125 KGS</v>
      </c>
      <c r="D43" s="67"/>
      <c r="E43" s="67"/>
      <c r="F43" s="67"/>
      <c r="G43" s="68"/>
      <c r="H43" s="69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1"/>
    </row>
    <row r="44" spans="1:26">
      <c r="A44" s="66"/>
      <c r="B44" s="66"/>
      <c r="C44" s="67"/>
      <c r="D44" s="67"/>
      <c r="E44" s="67"/>
      <c r="F44" s="67"/>
      <c r="G44" s="68"/>
      <c r="H44" s="72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4"/>
    </row>
    <row r="45" spans="1:26">
      <c r="A45" s="66" t="s">
        <v>33</v>
      </c>
      <c r="B45" s="66"/>
      <c r="C45" s="67"/>
      <c r="D45" s="67"/>
      <c r="E45" s="67"/>
      <c r="F45" s="67"/>
      <c r="G45" s="68"/>
      <c r="H45" s="72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4"/>
    </row>
    <row r="46" spans="1:26">
      <c r="A46" s="66"/>
      <c r="B46" s="66"/>
      <c r="C46" s="67"/>
      <c r="D46" s="67"/>
      <c r="E46" s="67"/>
      <c r="F46" s="67"/>
      <c r="G46" s="68"/>
      <c r="H46" s="72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4"/>
    </row>
    <row r="47" spans="1:26">
      <c r="A47" s="66" t="s">
        <v>34</v>
      </c>
      <c r="B47" s="66"/>
      <c r="C47" s="67"/>
      <c r="D47" s="67"/>
      <c r="E47" s="67"/>
      <c r="F47" s="67"/>
      <c r="G47" s="68"/>
      <c r="H47" s="72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4"/>
    </row>
    <row r="48" spans="1:26">
      <c r="A48" s="66"/>
      <c r="B48" s="66"/>
      <c r="C48" s="67"/>
      <c r="D48" s="67"/>
      <c r="E48" s="67"/>
      <c r="F48" s="67"/>
      <c r="G48" s="68"/>
      <c r="H48" s="72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4"/>
    </row>
    <row r="49" spans="1:26">
      <c r="A49" s="66" t="s">
        <v>35</v>
      </c>
      <c r="B49" s="66"/>
      <c r="C49" s="67"/>
      <c r="D49" s="67"/>
      <c r="E49" s="67"/>
      <c r="F49" s="67"/>
      <c r="G49" s="68"/>
      <c r="H49" s="72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4"/>
    </row>
    <row r="50" spans="1:26">
      <c r="A50" s="66"/>
      <c r="B50" s="66"/>
      <c r="C50" s="67"/>
      <c r="D50" s="67"/>
      <c r="E50" s="67"/>
      <c r="F50" s="67"/>
      <c r="G50" s="68"/>
      <c r="H50" s="75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7"/>
    </row>
    <row r="52" spans="1:26">
      <c r="A52" s="58" t="s">
        <v>36</v>
      </c>
      <c r="B52" s="58"/>
      <c r="C52" s="58"/>
      <c r="D52" s="58"/>
      <c r="E52" s="58"/>
    </row>
    <row r="53" spans="1:26" ht="12" thickBot="1">
      <c r="A53" s="59"/>
      <c r="B53" s="59"/>
      <c r="C53" s="59"/>
      <c r="D53" s="59"/>
      <c r="E53" s="59"/>
    </row>
    <row r="54" spans="1:26" ht="12" thickTop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>
      <c r="A55" s="64" t="s">
        <v>37</v>
      </c>
      <c r="B55" s="64"/>
      <c r="C55" s="65" t="s">
        <v>38</v>
      </c>
      <c r="D55" s="65"/>
      <c r="E55" s="65"/>
    </row>
    <row r="56" spans="1:26">
      <c r="A56" s="64"/>
      <c r="B56" s="64"/>
      <c r="C56" s="65"/>
      <c r="D56" s="65"/>
      <c r="E56" s="65"/>
    </row>
    <row r="57" spans="1:26">
      <c r="A57" s="61" t="s">
        <v>39</v>
      </c>
      <c r="B57" s="61"/>
      <c r="C57" s="60"/>
      <c r="D57" s="60"/>
      <c r="E57" s="60"/>
      <c r="G57" s="61" t="s">
        <v>40</v>
      </c>
      <c r="H57" s="60"/>
      <c r="O57" s="60"/>
      <c r="P57" s="60"/>
      <c r="Q57" s="60"/>
      <c r="R57" s="60"/>
      <c r="S57" s="61" t="s">
        <v>41</v>
      </c>
      <c r="T57" s="61"/>
    </row>
    <row r="58" spans="1:26">
      <c r="A58" s="61"/>
      <c r="B58" s="61"/>
      <c r="C58" s="60"/>
      <c r="D58" s="60"/>
      <c r="E58" s="60"/>
      <c r="G58" s="61"/>
      <c r="H58" s="60"/>
      <c r="O58" s="60"/>
      <c r="P58" s="60"/>
      <c r="Q58" s="60"/>
      <c r="R58" s="60"/>
      <c r="S58" s="61"/>
      <c r="T58" s="61"/>
    </row>
    <row r="59" spans="1:26">
      <c r="A59" s="62" t="s">
        <v>42</v>
      </c>
      <c r="B59" s="62"/>
      <c r="C59" s="63"/>
      <c r="D59" s="63"/>
      <c r="E59" s="63"/>
      <c r="G59" s="62" t="s">
        <v>43</v>
      </c>
      <c r="H59" s="63"/>
      <c r="O59" s="63"/>
      <c r="P59" s="63"/>
      <c r="Q59" s="63"/>
      <c r="R59" s="63"/>
      <c r="S59" s="62" t="s">
        <v>44</v>
      </c>
      <c r="T59" s="62"/>
    </row>
    <row r="60" spans="1:26">
      <c r="A60" s="62"/>
      <c r="B60" s="62"/>
      <c r="C60" s="63"/>
      <c r="D60" s="63"/>
      <c r="E60" s="63"/>
      <c r="G60" s="62"/>
      <c r="H60" s="63"/>
      <c r="O60" s="63"/>
      <c r="P60" s="63"/>
      <c r="Q60" s="63"/>
      <c r="R60" s="63"/>
      <c r="S60" s="62"/>
      <c r="T60" s="62"/>
    </row>
    <row r="62" spans="1:26">
      <c r="A62" s="58" t="s">
        <v>45</v>
      </c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spans="1:26" ht="12" thickBot="1">
      <c r="A63" s="58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</row>
    <row r="64" spans="1:26" ht="12" thickTop="1"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9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18" ht="13.5">
      <c r="A65" s="6" t="s">
        <v>86</v>
      </c>
    </row>
    <row r="67" spans="1:18" ht="12">
      <c r="A67" s="40" t="s">
        <v>87</v>
      </c>
      <c r="B67" s="41"/>
      <c r="C67" s="41"/>
      <c r="D67" s="41"/>
      <c r="E67" s="41"/>
      <c r="F67" s="42"/>
      <c r="G67" s="42"/>
      <c r="H67" s="43"/>
      <c r="I67" s="41"/>
      <c r="J67" s="41"/>
      <c r="K67" s="41"/>
      <c r="L67" s="41"/>
      <c r="M67" s="41"/>
      <c r="N67" s="41"/>
      <c r="O67" s="43"/>
      <c r="P67" s="43"/>
      <c r="Q67" s="41"/>
      <c r="R67" s="41"/>
    </row>
    <row r="68" spans="1:18" ht="36">
      <c r="A68" s="44" t="s">
        <v>88</v>
      </c>
      <c r="B68" s="45"/>
      <c r="C68" s="45"/>
      <c r="D68" s="45"/>
      <c r="E68" s="56" t="s">
        <v>89</v>
      </c>
      <c r="G68" s="56"/>
      <c r="H68" s="57"/>
      <c r="I68" s="56"/>
      <c r="J68" s="56"/>
      <c r="K68" s="56"/>
      <c r="L68" s="56"/>
      <c r="M68" s="56"/>
      <c r="N68" s="56"/>
      <c r="O68" s="57"/>
      <c r="P68" s="57"/>
      <c r="Q68" s="56"/>
      <c r="R68" s="56"/>
    </row>
    <row r="69" spans="1:18" ht="36">
      <c r="A69" s="44" t="s">
        <v>90</v>
      </c>
      <c r="B69" s="45"/>
      <c r="C69" s="45"/>
      <c r="D69" s="45"/>
      <c r="E69" s="56" t="s">
        <v>91</v>
      </c>
      <c r="G69" s="56"/>
      <c r="H69" s="57"/>
      <c r="I69" s="56"/>
      <c r="J69" s="56"/>
      <c r="K69" s="56"/>
      <c r="L69" s="56"/>
      <c r="M69" s="56"/>
      <c r="N69" s="56"/>
      <c r="O69" s="57"/>
      <c r="P69" s="57"/>
      <c r="Q69" s="56"/>
      <c r="R69" s="56"/>
    </row>
    <row r="70" spans="1:18" ht="24">
      <c r="A70" s="44" t="s">
        <v>97</v>
      </c>
      <c r="B70" s="45"/>
      <c r="C70" s="45"/>
      <c r="D70" s="45"/>
      <c r="E70" s="56" t="s">
        <v>92</v>
      </c>
      <c r="G70" s="56"/>
      <c r="H70" s="57"/>
      <c r="I70" s="56"/>
      <c r="J70" s="56"/>
      <c r="K70" s="56"/>
      <c r="L70" s="56"/>
      <c r="M70" s="56"/>
      <c r="N70" s="56"/>
      <c r="O70" s="57"/>
      <c r="P70" s="57"/>
      <c r="Q70" s="56"/>
      <c r="R70" s="56"/>
    </row>
    <row r="71" spans="1:18" ht="24">
      <c r="A71" s="44" t="s">
        <v>93</v>
      </c>
      <c r="B71" s="45"/>
      <c r="C71" s="45"/>
      <c r="D71" s="45"/>
      <c r="E71" s="56" t="s">
        <v>98</v>
      </c>
      <c r="G71" s="56"/>
      <c r="H71" s="57"/>
      <c r="I71" s="56"/>
      <c r="J71" s="56"/>
      <c r="K71" s="56"/>
      <c r="L71" s="56"/>
      <c r="M71" s="56"/>
      <c r="N71" s="56"/>
      <c r="O71" s="57"/>
      <c r="P71" s="57"/>
      <c r="Q71" s="56"/>
      <c r="R71" s="56"/>
    </row>
    <row r="72" spans="1:18" ht="24">
      <c r="A72" s="44" t="s">
        <v>99</v>
      </c>
      <c r="B72" s="45"/>
      <c r="C72" s="45"/>
      <c r="D72" s="45"/>
      <c r="E72" s="56" t="s">
        <v>94</v>
      </c>
      <c r="G72" s="56"/>
      <c r="H72" s="57"/>
      <c r="I72" s="56"/>
      <c r="J72" s="56"/>
      <c r="K72" s="56"/>
      <c r="L72" s="56"/>
      <c r="M72" s="56"/>
      <c r="N72" s="56"/>
      <c r="O72" s="57"/>
      <c r="P72" s="57"/>
      <c r="Q72" s="56"/>
      <c r="R72" s="56"/>
    </row>
    <row r="73" spans="1:18" ht="36">
      <c r="A73" s="44" t="s">
        <v>95</v>
      </c>
      <c r="B73" s="45"/>
      <c r="C73" s="45"/>
      <c r="D73" s="45"/>
      <c r="E73" s="56" t="s">
        <v>96</v>
      </c>
      <c r="G73" s="56"/>
      <c r="H73" s="57"/>
      <c r="I73" s="56"/>
      <c r="J73" s="56"/>
      <c r="K73" s="56"/>
      <c r="L73" s="56"/>
      <c r="M73" s="56"/>
      <c r="N73" s="56"/>
      <c r="O73" s="57"/>
      <c r="P73" s="57"/>
      <c r="Q73" s="56"/>
      <c r="R73" s="56"/>
    </row>
    <row r="74" spans="1:18" ht="12">
      <c r="A74" s="46"/>
      <c r="B74" s="47"/>
      <c r="C74" s="47"/>
      <c r="D74" s="48"/>
      <c r="E74" s="49"/>
      <c r="F74" s="50"/>
      <c r="G74" s="50"/>
      <c r="H74" s="51"/>
      <c r="I74" s="52"/>
      <c r="J74" s="52"/>
      <c r="K74" s="53"/>
      <c r="L74" s="51"/>
      <c r="M74" s="52"/>
      <c r="N74" s="54"/>
      <c r="O74" s="55"/>
      <c r="P74" s="55"/>
      <c r="Q74" s="54"/>
      <c r="R74" s="54"/>
    </row>
    <row r="75" spans="1:18">
      <c r="A75" s="2" t="s">
        <v>100</v>
      </c>
    </row>
    <row r="76" spans="1:18">
      <c r="A76" s="2" t="s">
        <v>101</v>
      </c>
    </row>
    <row r="77" spans="1:18">
      <c r="A77" s="2" t="s">
        <v>102</v>
      </c>
    </row>
    <row r="78" spans="1:18">
      <c r="A78" s="2" t="s">
        <v>103</v>
      </c>
    </row>
    <row r="79" spans="1:18">
      <c r="A79" s="2" t="s">
        <v>104</v>
      </c>
    </row>
    <row r="80" spans="1:18">
      <c r="A80" s="2" t="s">
        <v>105</v>
      </c>
    </row>
    <row r="81" spans="1:1">
      <c r="A81" s="2" t="s">
        <v>106</v>
      </c>
    </row>
    <row r="85" spans="1:1" ht="10.9" customHeight="1"/>
    <row r="86" spans="1:1" ht="10.9" customHeight="1"/>
    <row r="87" spans="1:1" ht="10.9" customHeight="1"/>
    <row r="88" spans="1:1" ht="10.9" customHeight="1"/>
    <row r="89" spans="1:1" ht="10.9" customHeight="1"/>
    <row r="90" spans="1:1" ht="10.9" customHeight="1"/>
    <row r="91" spans="1:1" ht="10.9" customHeight="1"/>
    <row r="92" spans="1:1" ht="10.9" customHeight="1"/>
    <row r="93" spans="1:1" ht="10.9" customHeight="1"/>
    <row r="94" spans="1:1" ht="10.9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6" ht="10.9" customHeight="1"/>
    <row r="107" ht="10.9" customHeight="1"/>
    <row r="108" ht="10.9" customHeight="1"/>
    <row r="112" ht="34.5" customHeight="1"/>
    <row r="113" ht="48" customHeight="1"/>
    <row r="114" ht="30" customHeight="1"/>
    <row r="115" ht="30" customHeight="1"/>
    <row r="116" ht="27" customHeight="1"/>
    <row r="117" ht="24" customHeight="1"/>
  </sheetData>
  <mergeCells count="44">
    <mergeCell ref="A8:P9"/>
    <mergeCell ref="V8:W9"/>
    <mergeCell ref="X8:Z9"/>
    <mergeCell ref="A1:Z1"/>
    <mergeCell ref="A2:Z2"/>
    <mergeCell ref="A3:Z3"/>
    <mergeCell ref="A4:Z4"/>
    <mergeCell ref="A6:Z6"/>
    <mergeCell ref="A10:P13"/>
    <mergeCell ref="V10:W11"/>
    <mergeCell ref="X10:Z11"/>
    <mergeCell ref="V12:W13"/>
    <mergeCell ref="X12:Z13"/>
    <mergeCell ref="A15:P16"/>
    <mergeCell ref="A17:P20"/>
    <mergeCell ref="A41:B42"/>
    <mergeCell ref="C41:G42"/>
    <mergeCell ref="H41:Z42"/>
    <mergeCell ref="A43:B44"/>
    <mergeCell ref="C43:G44"/>
    <mergeCell ref="H43:Z50"/>
    <mergeCell ref="A45:B46"/>
    <mergeCell ref="C45:G46"/>
    <mergeCell ref="A47:B48"/>
    <mergeCell ref="C47:G48"/>
    <mergeCell ref="A49:B50"/>
    <mergeCell ref="C49:G50"/>
    <mergeCell ref="A52:E53"/>
    <mergeCell ref="A55:B56"/>
    <mergeCell ref="C55:E56"/>
    <mergeCell ref="A57:B58"/>
    <mergeCell ref="C57:E58"/>
    <mergeCell ref="A62:M63"/>
    <mergeCell ref="N62:Z63"/>
    <mergeCell ref="H57:H58"/>
    <mergeCell ref="S57:T58"/>
    <mergeCell ref="O57:R58"/>
    <mergeCell ref="A59:B60"/>
    <mergeCell ref="C59:E60"/>
    <mergeCell ref="G59:G60"/>
    <mergeCell ref="H59:H60"/>
    <mergeCell ref="S59:T60"/>
    <mergeCell ref="O59:R60"/>
    <mergeCell ref="G57:G58"/>
  </mergeCells>
  <conditionalFormatting sqref="C24:C38">
    <cfRule type="expression" dxfId="28" priority="2">
      <formula>$C24="Low"</formula>
    </cfRule>
    <cfRule type="expression" dxfId="27" priority="3">
      <formula>$C24="Medium"</formula>
    </cfRule>
    <cfRule type="expression" dxfId="26" priority="4">
      <formula>$C24="High"</formula>
    </cfRule>
  </conditionalFormatting>
  <dataValidations count="1">
    <dataValidation type="list" allowBlank="1" showInputMessage="1" showErrorMessage="1" sqref="Y23" xr:uid="{CCD654C9-BCC3-4305-9898-E547B73ECDEE}">
      <formula1>"PRODUCT LINE (PT-BR), UNDERLINE PRODUCT (PT-BR)"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45" fitToHeight="0" orientation="portrait" r:id="rId1"/>
  <headerFooter>
    <oddFooter>&amp;L&amp;F&amp;C| &amp;D - &amp;T |&amp;RPágina &amp;P de &amp;N</oddFooter>
  </headerFooter>
  <drawing r:id="rId2"/>
  <legacy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Invoice</vt:lpstr>
      <vt:lpstr>Invoice!Area_de_impressao</vt:lpstr>
      <vt:lpstr>Invoice!Titulos_de_impressao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Metalurgico 5 Plasnox</dc:creator>
  <cp:lastModifiedBy>Metalurgico 5 Plasnox</cp:lastModifiedBy>
  <dcterms:created xsi:type="dcterms:W3CDTF">2026-06-03T18:07:35Z</dcterms:created>
  <dcterms:modified xsi:type="dcterms:W3CDTF">2026-06-08T17:06:48Z</dcterms:modified>
</cp:coreProperties>
</file>
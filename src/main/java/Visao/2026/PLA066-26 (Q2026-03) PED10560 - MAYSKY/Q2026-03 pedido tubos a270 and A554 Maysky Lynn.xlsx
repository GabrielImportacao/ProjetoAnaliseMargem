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ário\Downloads\"/>
    </mc:Choice>
  </mc:AlternateContent>
  <xr:revisionPtr revIDLastSave="0" documentId="8_{50AAB8DC-7F93-46A3-BC97-5A0CE6499823}" xr6:coauthVersionLast="47" xr6:coauthVersionMax="47" xr10:uidLastSave="{00000000-0000-0000-0000-000000000000}"/>
  <bookViews>
    <workbookView xWindow="-110" yWindow="-110" windowWidth="19420" windowHeight="11500" xr2:uid="{5E682BB8-FF80-43B9-A422-D1CB3987F065}"/>
  </bookViews>
  <sheets>
    <sheet name="Q2026-03 pedido Maysky Lynn" sheetId="1" r:id="rId1"/>
  </sheets>
  <definedNames>
    <definedName name="_xlnm._FilterDatabase" localSheetId="0" hidden="1">'Q2026-03 pedido Maysky Lynn'!$A$36:$N$64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64" i="1" l="1"/>
  <c r="K64" i="1"/>
  <c r="I64" i="1"/>
  <c r="M63" i="1"/>
  <c r="I63" i="1"/>
  <c r="M62" i="1"/>
  <c r="I62" i="1"/>
  <c r="M61" i="1"/>
  <c r="I61" i="1"/>
  <c r="M60" i="1"/>
  <c r="I60" i="1"/>
  <c r="M59" i="1"/>
  <c r="I59" i="1"/>
  <c r="M58" i="1"/>
  <c r="I58" i="1"/>
  <c r="M57" i="1"/>
  <c r="I57" i="1"/>
  <c r="M56" i="1"/>
  <c r="I56" i="1"/>
  <c r="M55" i="1"/>
  <c r="K55" i="1"/>
  <c r="I55" i="1"/>
  <c r="M54" i="1"/>
  <c r="I54" i="1"/>
  <c r="M53" i="1"/>
  <c r="I53" i="1"/>
  <c r="M52" i="1"/>
  <c r="K52" i="1"/>
  <c r="I52" i="1"/>
  <c r="N51" i="1"/>
  <c r="M51" i="1"/>
  <c r="I51" i="1"/>
  <c r="M50" i="1"/>
  <c r="I50" i="1"/>
  <c r="M49" i="1"/>
  <c r="I49" i="1"/>
  <c r="M48" i="1"/>
  <c r="K48" i="1"/>
  <c r="I48" i="1"/>
  <c r="M47" i="1"/>
  <c r="I47" i="1"/>
  <c r="M46" i="1"/>
  <c r="I46" i="1"/>
  <c r="M45" i="1"/>
  <c r="I45" i="1"/>
  <c r="M44" i="1"/>
  <c r="I44" i="1"/>
  <c r="M43" i="1"/>
  <c r="K43" i="1"/>
  <c r="I43" i="1"/>
  <c r="M42" i="1"/>
  <c r="I42" i="1"/>
  <c r="M41" i="1"/>
  <c r="I41" i="1"/>
  <c r="M40" i="1"/>
  <c r="I40" i="1"/>
  <c r="M39" i="1"/>
  <c r="I39" i="1"/>
  <c r="M38" i="1"/>
  <c r="I38" i="1"/>
  <c r="M37" i="1"/>
  <c r="I37" i="1"/>
  <c r="N32" i="1"/>
  <c r="L32" i="1"/>
  <c r="N31" i="1"/>
  <c r="L31" i="1"/>
  <c r="N30" i="1"/>
  <c r="L30" i="1"/>
  <c r="N29" i="1"/>
  <c r="L29" i="1"/>
  <c r="N28" i="1"/>
  <c r="L28" i="1"/>
  <c r="N27" i="1"/>
  <c r="L27" i="1"/>
  <c r="N26" i="1"/>
  <c r="L26" i="1"/>
  <c r="N25" i="1"/>
  <c r="L25" i="1"/>
  <c r="N24" i="1"/>
  <c r="L24" i="1"/>
  <c r="N23" i="1"/>
  <c r="L23" i="1"/>
  <c r="N22" i="1"/>
  <c r="L22" i="1"/>
  <c r="N21" i="1"/>
  <c r="L21" i="1"/>
  <c r="N20" i="1"/>
  <c r="L20" i="1"/>
  <c r="N19" i="1"/>
  <c r="L19" i="1"/>
  <c r="P18" i="1"/>
  <c r="O18" i="1"/>
  <c r="N18" i="1"/>
  <c r="L18" i="1"/>
  <c r="P17" i="1"/>
  <c r="O17" i="1"/>
  <c r="N17" i="1"/>
  <c r="L17" i="1"/>
  <c r="P16" i="1"/>
  <c r="O16" i="1"/>
  <c r="N16" i="1"/>
  <c r="L16" i="1"/>
  <c r="P15" i="1"/>
  <c r="O15" i="1"/>
  <c r="N15" i="1"/>
  <c r="L15" i="1"/>
  <c r="P14" i="1"/>
  <c r="O14" i="1"/>
  <c r="N14" i="1"/>
  <c r="L14" i="1"/>
  <c r="P13" i="1"/>
  <c r="O13" i="1"/>
  <c r="N13" i="1"/>
  <c r="L13" i="1"/>
  <c r="P12" i="1"/>
  <c r="O12" i="1"/>
  <c r="N12" i="1"/>
  <c r="L12" i="1"/>
  <c r="P11" i="1"/>
  <c r="O11" i="1"/>
  <c r="N11" i="1"/>
  <c r="L11" i="1"/>
  <c r="P10" i="1"/>
  <c r="O10" i="1"/>
  <c r="N10" i="1"/>
  <c r="L10" i="1"/>
  <c r="P9" i="1"/>
  <c r="O9" i="1"/>
  <c r="N9" i="1"/>
  <c r="L9" i="1"/>
  <c r="P8" i="1"/>
  <c r="O8" i="1"/>
  <c r="N8" i="1"/>
  <c r="L8" i="1"/>
  <c r="P7" i="1"/>
  <c r="O7" i="1"/>
  <c r="N7" i="1"/>
  <c r="L7" i="1"/>
  <c r="P6" i="1"/>
  <c r="O6" i="1"/>
  <c r="N6" i="1"/>
  <c r="L6" i="1"/>
  <c r="P5" i="1"/>
  <c r="O5" i="1"/>
  <c r="N5" i="1"/>
  <c r="L5" i="1"/>
  <c r="P4" i="1"/>
  <c r="O4" i="1"/>
  <c r="N4" i="1"/>
  <c r="L4" i="1"/>
  <c r="P3" i="1"/>
  <c r="O3" i="1"/>
  <c r="N3" i="1"/>
  <c r="L3" i="1"/>
  <c r="P2" i="1"/>
  <c r="O2" i="1"/>
  <c r="N2" i="1"/>
  <c r="L2" i="1"/>
  <c r="N64" i="1" l="1"/>
  <c r="N63" i="1"/>
  <c r="K63" i="1"/>
  <c r="N62" i="1"/>
  <c r="N61" i="1"/>
  <c r="K61" i="1"/>
  <c r="K60" i="1"/>
  <c r="N59" i="1"/>
  <c r="N58" i="1"/>
  <c r="N56" i="1"/>
  <c r="K56" i="1"/>
  <c r="N47" i="1"/>
  <c r="N46" i="1"/>
  <c r="K40" i="1"/>
  <c r="N37" i="1"/>
  <c r="K37" i="1"/>
  <c r="N33" i="1"/>
  <c r="N44" i="1"/>
  <c r="K38" i="1"/>
  <c r="P33" i="1"/>
  <c r="K62" i="1"/>
  <c r="K59" i="1"/>
  <c r="K58" i="1"/>
  <c r="N57" i="1"/>
  <c r="K57" i="1"/>
  <c r="N55" i="1"/>
  <c r="K53" i="1"/>
  <c r="N52" i="1"/>
  <c r="N48" i="1"/>
  <c r="K47" i="1"/>
  <c r="N45" i="1"/>
  <c r="K45" i="1"/>
  <c r="K44" i="1"/>
  <c r="N42" i="1"/>
  <c r="K42" i="1"/>
  <c r="N41" i="1"/>
  <c r="N39" i="1"/>
  <c r="O33" i="1"/>
  <c r="M65" i="1"/>
  <c r="N60" i="1"/>
  <c r="N54" i="1"/>
  <c r="K54" i="1"/>
  <c r="N53" i="1"/>
  <c r="K51" i="1"/>
  <c r="N50" i="1"/>
  <c r="K50" i="1"/>
  <c r="N49" i="1"/>
  <c r="K49" i="1"/>
  <c r="K46" i="1"/>
  <c r="N43" i="1"/>
  <c r="K41" i="1"/>
  <c r="N40" i="1"/>
  <c r="K39" i="1"/>
  <c r="N38" i="1"/>
  <c r="L33" i="1"/>
  <c r="N65" i="1" l="1"/>
</calcChain>
</file>

<file path=xl/sharedStrings.xml><?xml version="1.0" encoding="utf-8"?>
<sst xmlns="http://schemas.openxmlformats.org/spreadsheetml/2006/main" count="344" uniqueCount="138">
  <si>
    <t>ITEM</t>
  </si>
  <si>
    <t>ITEM ID.</t>
  </si>
  <si>
    <t>Standard</t>
  </si>
  <si>
    <t>DESCRIPTION ENGLISH</t>
  </si>
  <si>
    <t>MATERIAL</t>
  </si>
  <si>
    <t>SIZE(Thickness x Length)</t>
  </si>
  <si>
    <t>Unit</t>
  </si>
  <si>
    <t>1st Shipment</t>
  </si>
  <si>
    <t>2nd Shipment
Total 2cntrs</t>
  </si>
  <si>
    <t>3rd Shipment</t>
  </si>
  <si>
    <t>MSY Price unit. USD</t>
  </si>
  <si>
    <t>MSY Price Total USD</t>
  </si>
  <si>
    <t>NET WEIGHT (kg)</t>
  </si>
  <si>
    <t>1st Shpt. Total N.W. (KG)</t>
  </si>
  <si>
    <t>2nd Shpt. Total N.W. (KG)</t>
  </si>
  <si>
    <t>3rd Total N.W. (KG)</t>
  </si>
  <si>
    <t>NCM</t>
  </si>
  <si>
    <t>Heat Number</t>
  </si>
  <si>
    <t>MSC2401.1205</t>
  </si>
  <si>
    <t>A270</t>
  </si>
  <si>
    <t>TUBE ROUND WELDED ANNEALING/ASTM A270 SANITARY STAINLESS/SURFACE FINISH POLISHED OUTSIDE600 GRIT, INSIDE400 GRIT(Ra＜0.8μm) WITH MIRROR OUTSIDE</t>
  </si>
  <si>
    <t>OD019,05 (3/4P) x 1,5MMx 6METERS</t>
  </si>
  <si>
    <t>METERS</t>
  </si>
  <si>
    <t>MSC2401.1206</t>
  </si>
  <si>
    <t>OD025,40 (1P) x 1,5MMx 6METERS</t>
  </si>
  <si>
    <t>MSC2401.1207</t>
  </si>
  <si>
    <t>OD031,75 (1.1/4P) x 1,5MMx 6METERS</t>
  </si>
  <si>
    <t>MSC2401.1208</t>
  </si>
  <si>
    <t>OD038,10 (1.1/2P) x 1,5MMx 6METERS</t>
  </si>
  <si>
    <t>MSC2401.1209</t>
  </si>
  <si>
    <t>OD050,80 (2P) x 1,5MMx 6METERS</t>
  </si>
  <si>
    <t>MSC2401.1210</t>
  </si>
  <si>
    <t>OD063,50 (2.1/2P) x 1,5MMx 6METERS</t>
  </si>
  <si>
    <t>MSC2401.1211</t>
  </si>
  <si>
    <t>OD076,20 (3P) x 1,5MMx 6METERS</t>
  </si>
  <si>
    <t>MSC2401.1411</t>
  </si>
  <si>
    <t>OD076,20 (3P) x 2,0MMx 6METERS</t>
  </si>
  <si>
    <t>MSC2401.1212</t>
  </si>
  <si>
    <t>OD101,60 (4P) x 1,5MMx 6METERS</t>
  </si>
  <si>
    <t>MSC2401.1412</t>
  </si>
  <si>
    <t>OD101,60 (4P) x 2,0MMx 6METERS</t>
  </si>
  <si>
    <t>MSC2401.1413</t>
  </si>
  <si>
    <t>OD127,00 (5P) x 2,0MMx 6METERS</t>
  </si>
  <si>
    <t>MSC2401.1414</t>
  </si>
  <si>
    <t>OD152,40 (6P) x 2,0MMx 6METERS</t>
  </si>
  <si>
    <t>MSC2401.1406</t>
  </si>
  <si>
    <t>OD025,40 (1P) x 2,0MM</t>
  </si>
  <si>
    <t>MSC2401.1408</t>
  </si>
  <si>
    <t>OD038,10 (1.1/2P) x 2,0MM</t>
  </si>
  <si>
    <t>MSC2401.1409</t>
  </si>
  <si>
    <t>OD050,80 (2P) x 2,0MM</t>
  </si>
  <si>
    <t>OD076,20 (3P) x 1,5MM</t>
  </si>
  <si>
    <t>OD101,60 (4P) x 1,5MM</t>
  </si>
  <si>
    <t>MSC2401.3406</t>
  </si>
  <si>
    <t>316L</t>
  </si>
  <si>
    <t>MSC2401.3408</t>
  </si>
  <si>
    <t>MSC2401.3409</t>
  </si>
  <si>
    <t>MSC2401.3205</t>
  </si>
  <si>
    <t>MSC2401.3206</t>
  </si>
  <si>
    <t>MSC2401.3208</t>
  </si>
  <si>
    <t>MSC2401.3209</t>
  </si>
  <si>
    <t>MSC2401.3210</t>
  </si>
  <si>
    <t>MSC2401.3411</t>
  </si>
  <si>
    <t>MSC2401.3412</t>
  </si>
  <si>
    <t>MSC2401.3414</t>
  </si>
  <si>
    <t>MSC2401.3306</t>
  </si>
  <si>
    <t>OD025,40 (1P) x 1,65MMx 6METERS</t>
  </si>
  <si>
    <t>MSC2401.3308</t>
  </si>
  <si>
    <t>OD038,10 (1.1/2P) x 1,65MMx 6METERS</t>
  </si>
  <si>
    <t>MSC2401.3309</t>
  </si>
  <si>
    <t>OD050,80 (2P) x 1,65MMx 6METERS</t>
  </si>
  <si>
    <t>TOTAL</t>
  </si>
  <si>
    <t>2nd Shipment</t>
  </si>
  <si>
    <t>MSC2405.1105</t>
  </si>
  <si>
    <t>A554</t>
  </si>
  <si>
    <t>RECTANGULAR TUBE / ASTM A554 / OUTSIDE POLISHED 600 GRIT  / THICKNESS 1.2MM x LENGTH 6000MM</t>
  </si>
  <si>
    <t>020X040 x 1,2MM</t>
  </si>
  <si>
    <t>MSC2405.1106</t>
  </si>
  <si>
    <t>020X050 x 1,2MM</t>
  </si>
  <si>
    <t>MSC2405.1111</t>
  </si>
  <si>
    <t>030X050 x 1,2MM</t>
  </si>
  <si>
    <t>MSC2405.1201</t>
  </si>
  <si>
    <t>RECTANGULAR TUBE / ASTM A554 / OUTSIDE POLISHED 600 GRIT  / THICKNESS 1.5MM x LENGTH 6000MM</t>
  </si>
  <si>
    <t>010X020 x 1,5MM</t>
  </si>
  <si>
    <t>MSC2405.1202</t>
  </si>
  <si>
    <t>010X030 x 1,5MM</t>
  </si>
  <si>
    <t>MSC2405.1205</t>
  </si>
  <si>
    <t>020X040 x 1,5MM</t>
  </si>
  <si>
    <t>MSC2405.1206</t>
  </si>
  <si>
    <t>020X050 x 1,5MM</t>
  </si>
  <si>
    <t>MSC2405.1211</t>
  </si>
  <si>
    <t>030X050 x 1,5MM</t>
  </si>
  <si>
    <t>MSC2405.1216</t>
  </si>
  <si>
    <t>040X060 x 1,5MM</t>
  </si>
  <si>
    <t>MSC2405.1220</t>
  </si>
  <si>
    <t>050X100 x 1,5MM</t>
  </si>
  <si>
    <t>MSC2405.1416</t>
  </si>
  <si>
    <t>RECTANGULAR TUBE / ASTM A554 / OUTSIDE POLISHED 600 GRIT  / THICKNESS 2.0MM x LENGTH 6000MM</t>
  </si>
  <si>
    <t>040X060 x 2,0MM</t>
  </si>
  <si>
    <t>MSC2405.1420</t>
  </si>
  <si>
    <t>050X100 x 2,0MM</t>
  </si>
  <si>
    <t>MSC2405.1212</t>
  </si>
  <si>
    <t>030x060 x 1,5MM</t>
  </si>
  <si>
    <t>MSC2404.1203</t>
  </si>
  <si>
    <t>SQUARE TUBE / ASTM A554 / OUTSIDE POLISHED 600 GRIT  / THICKNESS 1.5MM x LENGTH 6000MM</t>
  </si>
  <si>
    <t xml:space="preserve">020X020 x 1,5MM </t>
  </si>
  <si>
    <t>MSC2404.1205</t>
  </si>
  <si>
    <t xml:space="preserve">030X030 x 1,5MM </t>
  </si>
  <si>
    <t>MSC2404.1207</t>
  </si>
  <si>
    <t xml:space="preserve">040X040 x 1,5MM </t>
  </si>
  <si>
    <t>MSC2404.1208</t>
  </si>
  <si>
    <t>050X050 x 1,5MM</t>
  </si>
  <si>
    <t>MSC2404.1407</t>
  </si>
  <si>
    <t>SQUARE TUBE / ASTM A554 / OUTSIDE POLISHED 600 GRIT  / THICKNESS 2.0MM x LENGTH 6000MM</t>
  </si>
  <si>
    <t xml:space="preserve">040X040 x 2,0MM </t>
  </si>
  <si>
    <t>MSC2404.1103</t>
  </si>
  <si>
    <t>SQUARE TUBE / ASTM A554 / OUTSIDE POLISHED 600 GRIT / THICKNESS 1.2MM x LENGTH 6000MM</t>
  </si>
  <si>
    <t xml:space="preserve">020X020 x 1,2MM </t>
  </si>
  <si>
    <t>MSC2404.1105</t>
  </si>
  <si>
    <t xml:space="preserve">030X030 x 1,2MM </t>
  </si>
  <si>
    <t>MSC2404.1107</t>
  </si>
  <si>
    <t xml:space="preserve">040X040 x 1,2MM </t>
  </si>
  <si>
    <t>MSC2404.1108</t>
  </si>
  <si>
    <t>050X050 x 1,2MM</t>
  </si>
  <si>
    <t>MSC2404.1412</t>
  </si>
  <si>
    <t>100X100 x 2,0MM</t>
  </si>
  <si>
    <t>MSC2404.1209</t>
  </si>
  <si>
    <t>SQUARE TUBE / ASTM A554 / OUTSIDE POLISHED 600 GRIT / THICKNESS 1.5MM x LENGTH 6000MM</t>
  </si>
  <si>
    <t>060X060 x 1,5MM</t>
  </si>
  <si>
    <t>MSC2404.1408</t>
  </si>
  <si>
    <t>SQUARE TUBE / ASTM A554 / OUTSIDE POLISHED 600 GRIT / THICKNESS 2.0MM x LENGTH 6000MM</t>
  </si>
  <si>
    <t>050X050 x 2,0MM</t>
  </si>
  <si>
    <t>MSC2404.1409</t>
  </si>
  <si>
    <t>SQUARE TUBE / ASTM A554 / OUTSIDE POLISHED 600 GRIT / THICKNESS 2.MM x LENGTH 6000MM</t>
  </si>
  <si>
    <t>060X060 x 2,0MM</t>
  </si>
  <si>
    <t>MSC2404.1411</t>
  </si>
  <si>
    <t>SQUARE TUBE / ASTM A554 / OUTSIDE POLISHED 600 GRIT / THICKNESS 3.0MM x LENGTH 6000MM</t>
  </si>
  <si>
    <t>080X080 x 2,0MM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</si>
</sst>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USD]\ #,##0.00"/>
    <numFmt numFmtId="165" formatCode="_-[$USD]\ * #,##0.00_-;\-[$USD]\ * #,##0.00_-;_-[$USD]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2" fillId="0" borderId="0" xfId="0" applyFon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1F25-5138-40DD-A379-C73A03DAEEE8}">
  <dimension ref="A1:R65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2" max="2" width="13.1796875" bestFit="1" customWidth="1"/>
    <col min="4" max="4" width="32.36328125" customWidth="1"/>
    <col min="6" max="6" width="33" bestFit="1" customWidth="1"/>
    <col min="10" max="10" width="10.54296875" bestFit="1" customWidth="1"/>
    <col min="11" max="11" width="14.1796875" customWidth="1"/>
    <col min="12" max="12" width="13.90625" bestFit="1" customWidth="1"/>
    <col min="13" max="13" width="14.453125" style="4" bestFit="1" customWidth="1"/>
    <col min="14" max="14" width="16.453125" style="4" bestFit="1" customWidth="1"/>
    <col min="15" max="18" width="16.453125" style="4" customWidth="1"/>
  </cols>
  <sheetData>
    <row r="1" spans="1:18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1</v>
      </c>
      <c r="B2" t="s">
        <v>18</v>
      </c>
      <c r="C2" t="s">
        <v>19</v>
      </c>
      <c r="D2" t="s">
        <v>20</v>
      </c>
      <c r="E2" s="2">
        <v>304</v>
      </c>
      <c r="F2" t="s">
        <v>21</v>
      </c>
      <c r="G2" t="s">
        <v>22</v>
      </c>
      <c r="H2">
        <v>120</v>
      </c>
      <c r="I2">
        <v>480</v>
      </c>
      <c r="J2">
        <v>240</v>
      </c>
      <c r="K2" s="3">
        <v>1.83</v>
      </c>
      <c r="L2" s="3">
        <f>(H2+I2+J2)*K2</f>
        <v>1537.2</v>
      </c>
      <c r="M2" s="4">
        <v>0.65154374999999998</v>
      </c>
      <c r="N2" s="4">
        <f>H2*M2</f>
        <v>78.185249999999996</v>
      </c>
      <c r="O2" s="4">
        <f>M2*I2</f>
        <v>312.74099999999999</v>
      </c>
      <c r="P2" s="4">
        <f>M2*J2</f>
        <v>156.37049999999999</v>
      </c>
      <c r="Q2">
        <v>73064000</v>
      </c>
    </row>
    <row r="3" spans="1:18" x14ac:dyDescent="0.35">
      <c r="A3">
        <v>2</v>
      </c>
      <c r="B3" t="s">
        <v>23</v>
      </c>
      <c r="C3" t="s">
        <v>19</v>
      </c>
      <c r="D3" t="s">
        <v>20</v>
      </c>
      <c r="E3" s="2">
        <v>304</v>
      </c>
      <c r="F3" t="s">
        <v>24</v>
      </c>
      <c r="G3" t="s">
        <v>22</v>
      </c>
      <c r="H3">
        <v>1200</v>
      </c>
      <c r="I3">
        <v>3360</v>
      </c>
      <c r="J3">
        <v>1680</v>
      </c>
      <c r="K3" s="3">
        <v>2.4500000000000002</v>
      </c>
      <c r="L3" s="3">
        <f>(H3+I3+J3)*K3</f>
        <v>15288.000000000002</v>
      </c>
      <c r="M3" s="4">
        <v>0.8872874999999999</v>
      </c>
      <c r="N3" s="4">
        <f>H3*M3</f>
        <v>1064.7449999999999</v>
      </c>
      <c r="O3" s="4">
        <f>M3*I3</f>
        <v>2981.2859999999996</v>
      </c>
      <c r="P3" s="4">
        <f>M3*J3</f>
        <v>1490.6429999999998</v>
      </c>
      <c r="Q3">
        <v>73064000</v>
      </c>
    </row>
    <row r="4" spans="1:18" x14ac:dyDescent="0.35">
      <c r="A4">
        <v>3</v>
      </c>
      <c r="B4" t="s">
        <v>25</v>
      </c>
      <c r="C4" t="s">
        <v>19</v>
      </c>
      <c r="D4" t="s">
        <v>20</v>
      </c>
      <c r="E4" s="2">
        <v>304</v>
      </c>
      <c r="F4" t="s">
        <v>26</v>
      </c>
      <c r="G4" t="s">
        <v>22</v>
      </c>
      <c r="H4">
        <v>270</v>
      </c>
      <c r="I4">
        <v>540</v>
      </c>
      <c r="J4">
        <v>270</v>
      </c>
      <c r="K4" s="3">
        <v>3.06</v>
      </c>
      <c r="L4" s="3">
        <f>(H4+I4+J4)*K4</f>
        <v>3304.8</v>
      </c>
      <c r="M4" s="4">
        <v>1.1230312500000001</v>
      </c>
      <c r="N4" s="4">
        <f>H4*M4</f>
        <v>303.21843750000005</v>
      </c>
      <c r="O4" s="4">
        <f>M4*I4</f>
        <v>606.4368750000001</v>
      </c>
      <c r="P4" s="4">
        <f>M4*J4</f>
        <v>303.21843750000005</v>
      </c>
      <c r="Q4">
        <v>73064000</v>
      </c>
    </row>
    <row r="5" spans="1:18" x14ac:dyDescent="0.35">
      <c r="A5">
        <v>4</v>
      </c>
      <c r="B5" t="s">
        <v>27</v>
      </c>
      <c r="C5" t="s">
        <v>19</v>
      </c>
      <c r="D5" t="s">
        <v>20</v>
      </c>
      <c r="E5" s="2">
        <v>304</v>
      </c>
      <c r="F5" t="s">
        <v>28</v>
      </c>
      <c r="G5" t="s">
        <v>22</v>
      </c>
      <c r="H5">
        <v>1800</v>
      </c>
      <c r="I5">
        <v>3720</v>
      </c>
      <c r="J5">
        <v>1860</v>
      </c>
      <c r="K5" s="3">
        <v>3.64</v>
      </c>
      <c r="L5" s="3">
        <f>(H5+I5+J5)*K5</f>
        <v>26863.200000000001</v>
      </c>
      <c r="M5" s="4">
        <v>1.3587750000000003</v>
      </c>
      <c r="N5" s="4">
        <f>H5*M5</f>
        <v>2445.7950000000005</v>
      </c>
      <c r="O5" s="4">
        <f>M5*I5</f>
        <v>5054.6430000000009</v>
      </c>
      <c r="P5" s="4">
        <f>M5*J5</f>
        <v>2527.3215000000005</v>
      </c>
      <c r="Q5">
        <v>73064000</v>
      </c>
    </row>
    <row r="6" spans="1:18" x14ac:dyDescent="0.35">
      <c r="A6">
        <v>5</v>
      </c>
      <c r="B6" t="s">
        <v>29</v>
      </c>
      <c r="C6" t="s">
        <v>19</v>
      </c>
      <c r="D6" t="s">
        <v>20</v>
      </c>
      <c r="E6" s="2">
        <v>304</v>
      </c>
      <c r="F6" t="s">
        <v>30</v>
      </c>
      <c r="G6" t="s">
        <v>22</v>
      </c>
      <c r="H6">
        <v>3120</v>
      </c>
      <c r="I6">
        <v>10200</v>
      </c>
      <c r="J6">
        <v>5100</v>
      </c>
      <c r="K6" s="3">
        <v>4.9000000000000004</v>
      </c>
      <c r="L6" s="3">
        <f>(H6+I6+J6)*K6</f>
        <v>90258</v>
      </c>
      <c r="M6" s="4">
        <v>1.8302624999999999</v>
      </c>
      <c r="N6" s="4">
        <f>H6*M6</f>
        <v>5710.4189999999999</v>
      </c>
      <c r="O6" s="4">
        <f>M6*I6</f>
        <v>18668.677499999998</v>
      </c>
      <c r="P6" s="4">
        <f>M6*J6</f>
        <v>9334.338749999999</v>
      </c>
      <c r="Q6">
        <v>73064000</v>
      </c>
    </row>
    <row r="7" spans="1:18" x14ac:dyDescent="0.35">
      <c r="A7">
        <v>6</v>
      </c>
      <c r="B7" t="s">
        <v>31</v>
      </c>
      <c r="C7" t="s">
        <v>19</v>
      </c>
      <c r="D7" t="s">
        <v>20</v>
      </c>
      <c r="E7" s="2">
        <v>304</v>
      </c>
      <c r="F7" t="s">
        <v>32</v>
      </c>
      <c r="G7" t="s">
        <v>22</v>
      </c>
      <c r="H7">
        <v>180</v>
      </c>
      <c r="I7">
        <v>480</v>
      </c>
      <c r="J7">
        <v>240</v>
      </c>
      <c r="K7" s="3">
        <v>6.16</v>
      </c>
      <c r="L7" s="3">
        <f>(H7+I7+J7)*K7</f>
        <v>5544</v>
      </c>
      <c r="M7" s="4">
        <v>2.3017500000000002</v>
      </c>
      <c r="N7" s="4">
        <f>H7*M7</f>
        <v>414.31500000000005</v>
      </c>
      <c r="O7" s="4">
        <f>M7*I7</f>
        <v>1104.8400000000001</v>
      </c>
      <c r="P7" s="4">
        <f>M7*J7</f>
        <v>552.42000000000007</v>
      </c>
      <c r="Q7">
        <v>73064000</v>
      </c>
    </row>
    <row r="8" spans="1:18" x14ac:dyDescent="0.35">
      <c r="A8">
        <v>7</v>
      </c>
      <c r="B8" t="s">
        <v>33</v>
      </c>
      <c r="C8" t="s">
        <v>19</v>
      </c>
      <c r="D8" t="s">
        <v>20</v>
      </c>
      <c r="E8" s="2">
        <v>304</v>
      </c>
      <c r="F8" t="s">
        <v>34</v>
      </c>
      <c r="G8" t="s">
        <v>22</v>
      </c>
      <c r="H8">
        <v>360</v>
      </c>
      <c r="I8">
        <v>960</v>
      </c>
      <c r="J8">
        <v>480</v>
      </c>
      <c r="K8" s="3">
        <v>7.41</v>
      </c>
      <c r="L8" s="3">
        <f>(H8+I8+J8)*K8</f>
        <v>13338</v>
      </c>
      <c r="M8" s="4">
        <v>2.7732375000000005</v>
      </c>
      <c r="N8" s="4">
        <f>H8*M8</f>
        <v>998.36550000000011</v>
      </c>
      <c r="O8" s="4">
        <f>M8*I8</f>
        <v>2662.3080000000004</v>
      </c>
      <c r="P8" s="4">
        <f>M8*J8</f>
        <v>1331.1540000000002</v>
      </c>
      <c r="Q8">
        <v>73064000</v>
      </c>
    </row>
    <row r="9" spans="1:18" x14ac:dyDescent="0.35">
      <c r="A9">
        <v>8</v>
      </c>
      <c r="B9" t="s">
        <v>35</v>
      </c>
      <c r="C9" t="s">
        <v>19</v>
      </c>
      <c r="D9" t="s">
        <v>20</v>
      </c>
      <c r="E9" s="2">
        <v>304</v>
      </c>
      <c r="F9" t="s">
        <v>36</v>
      </c>
      <c r="G9" t="s">
        <v>22</v>
      </c>
      <c r="H9">
        <v>600</v>
      </c>
      <c r="I9">
        <v>1560</v>
      </c>
      <c r="J9">
        <v>780</v>
      </c>
      <c r="K9" s="3">
        <v>9.83</v>
      </c>
      <c r="L9" s="3">
        <f>(H9+I9+J9)*K9</f>
        <v>28900.2</v>
      </c>
      <c r="M9" s="4">
        <v>3.6729000000000003</v>
      </c>
      <c r="N9" s="4">
        <f>H9*M9</f>
        <v>2203.7400000000002</v>
      </c>
      <c r="O9" s="4">
        <f>M9*I9</f>
        <v>5729.7240000000002</v>
      </c>
      <c r="P9" s="4">
        <f>M9*J9</f>
        <v>2864.8620000000001</v>
      </c>
      <c r="Q9">
        <v>73064000</v>
      </c>
    </row>
    <row r="10" spans="1:18" x14ac:dyDescent="0.35">
      <c r="A10">
        <v>9</v>
      </c>
      <c r="B10" t="s">
        <v>37</v>
      </c>
      <c r="C10" t="s">
        <v>19</v>
      </c>
      <c r="D10" t="s">
        <v>20</v>
      </c>
      <c r="E10" s="2">
        <v>304</v>
      </c>
      <c r="F10" t="s">
        <v>38</v>
      </c>
      <c r="G10" t="s">
        <v>22</v>
      </c>
      <c r="H10">
        <v>180</v>
      </c>
      <c r="I10">
        <v>480</v>
      </c>
      <c r="J10">
        <v>240</v>
      </c>
      <c r="K10" s="3">
        <v>9.93</v>
      </c>
      <c r="L10" s="3">
        <f>(H10+I10+J10)*K10</f>
        <v>8937</v>
      </c>
      <c r="M10" s="4">
        <v>3.7162124999999997</v>
      </c>
      <c r="N10" s="4">
        <f>H10*M10</f>
        <v>668.91824999999994</v>
      </c>
      <c r="O10" s="4">
        <f>M10*I10</f>
        <v>1783.7819999999999</v>
      </c>
      <c r="P10" s="4">
        <f>M10*J10</f>
        <v>891.89099999999996</v>
      </c>
      <c r="Q10">
        <v>73064000</v>
      </c>
    </row>
    <row r="11" spans="1:18" x14ac:dyDescent="0.35">
      <c r="A11">
        <v>10</v>
      </c>
      <c r="B11" t="s">
        <v>39</v>
      </c>
      <c r="C11" t="s">
        <v>19</v>
      </c>
      <c r="D11" t="s">
        <v>20</v>
      </c>
      <c r="E11" s="2">
        <v>304</v>
      </c>
      <c r="F11" t="s">
        <v>40</v>
      </c>
      <c r="G11" t="s">
        <v>22</v>
      </c>
      <c r="H11">
        <v>180</v>
      </c>
      <c r="I11">
        <v>1080</v>
      </c>
      <c r="J11">
        <v>540</v>
      </c>
      <c r="K11" s="3">
        <v>13.18</v>
      </c>
      <c r="L11" s="3">
        <f>(H11+I11+J11)*K11</f>
        <v>23724</v>
      </c>
      <c r="M11" s="4">
        <v>4.9302000000000001</v>
      </c>
      <c r="N11" s="4">
        <f>H11*M11</f>
        <v>887.43600000000004</v>
      </c>
      <c r="O11" s="4">
        <f>M11*I11</f>
        <v>5324.616</v>
      </c>
      <c r="P11" s="4">
        <f>M11*J11</f>
        <v>2662.308</v>
      </c>
      <c r="Q11">
        <v>73064000</v>
      </c>
    </row>
    <row r="12" spans="1:18" x14ac:dyDescent="0.35">
      <c r="A12">
        <v>11</v>
      </c>
      <c r="B12" t="s">
        <v>41</v>
      </c>
      <c r="C12" t="s">
        <v>19</v>
      </c>
      <c r="D12" t="s">
        <v>20</v>
      </c>
      <c r="E12" s="2">
        <v>304</v>
      </c>
      <c r="F12" t="s">
        <v>42</v>
      </c>
      <c r="G12" t="s">
        <v>22</v>
      </c>
      <c r="H12">
        <v>90</v>
      </c>
      <c r="I12">
        <v>180</v>
      </c>
      <c r="J12">
        <v>90</v>
      </c>
      <c r="K12" s="3">
        <v>16.54</v>
      </c>
      <c r="L12" s="3">
        <f>(H12+I12+J12)*K12</f>
        <v>5954.4</v>
      </c>
      <c r="M12" s="4">
        <v>6.1875</v>
      </c>
      <c r="N12" s="4">
        <f>H12*M12</f>
        <v>556.875</v>
      </c>
      <c r="O12" s="4">
        <f>M12*I12</f>
        <v>1113.75</v>
      </c>
      <c r="P12" s="4">
        <f>M12*J12</f>
        <v>556.875</v>
      </c>
      <c r="Q12">
        <v>73064000</v>
      </c>
    </row>
    <row r="13" spans="1:18" x14ac:dyDescent="0.35">
      <c r="A13">
        <v>12</v>
      </c>
      <c r="B13" t="s">
        <v>43</v>
      </c>
      <c r="C13" t="s">
        <v>19</v>
      </c>
      <c r="D13" t="s">
        <v>20</v>
      </c>
      <c r="E13" s="2">
        <v>304</v>
      </c>
      <c r="F13" t="s">
        <v>44</v>
      </c>
      <c r="G13" t="s">
        <v>22</v>
      </c>
      <c r="H13">
        <v>180</v>
      </c>
      <c r="I13">
        <v>420</v>
      </c>
      <c r="J13">
        <v>210</v>
      </c>
      <c r="K13" s="3">
        <v>19.89</v>
      </c>
      <c r="L13" s="3">
        <f>(H13+I13+J13)*K13</f>
        <v>16110.9</v>
      </c>
      <c r="M13" s="4">
        <v>7.4448000000000008</v>
      </c>
      <c r="N13" s="4">
        <f>H13*M13</f>
        <v>1340.0640000000001</v>
      </c>
      <c r="O13" s="4">
        <f>M13*I13</f>
        <v>3126.8160000000003</v>
      </c>
      <c r="P13" s="4">
        <f>M13*J13</f>
        <v>1563.4080000000001</v>
      </c>
      <c r="Q13">
        <v>73064000</v>
      </c>
    </row>
    <row r="14" spans="1:18" x14ac:dyDescent="0.35">
      <c r="A14">
        <v>13</v>
      </c>
      <c r="B14" t="s">
        <v>45</v>
      </c>
      <c r="C14" t="s">
        <v>19</v>
      </c>
      <c r="D14" t="s">
        <v>20</v>
      </c>
      <c r="E14" s="2">
        <v>304</v>
      </c>
      <c r="F14" t="s">
        <v>46</v>
      </c>
      <c r="G14" t="s">
        <v>22</v>
      </c>
      <c r="H14">
        <v>120</v>
      </c>
      <c r="I14">
        <v>240</v>
      </c>
      <c r="J14">
        <v>120</v>
      </c>
      <c r="K14" s="3">
        <v>2.91</v>
      </c>
      <c r="L14" s="3">
        <f>(H14+I14+J14)*K14</f>
        <v>1396.8000000000002</v>
      </c>
      <c r="M14" s="4">
        <v>1.583</v>
      </c>
      <c r="N14" s="4">
        <f>H14*M14</f>
        <v>189.96</v>
      </c>
      <c r="O14" s="4">
        <f>M14*I14</f>
        <v>379.92</v>
      </c>
      <c r="P14" s="4">
        <f>M14*J14</f>
        <v>189.96</v>
      </c>
      <c r="Q14">
        <v>73064000</v>
      </c>
    </row>
    <row r="15" spans="1:18" x14ac:dyDescent="0.35">
      <c r="A15">
        <v>14</v>
      </c>
      <c r="B15" t="s">
        <v>47</v>
      </c>
      <c r="C15" t="s">
        <v>19</v>
      </c>
      <c r="D15" t="s">
        <v>20</v>
      </c>
      <c r="E15" s="2">
        <v>304</v>
      </c>
      <c r="F15" t="s">
        <v>48</v>
      </c>
      <c r="G15" t="s">
        <v>22</v>
      </c>
      <c r="H15">
        <v>180</v>
      </c>
      <c r="I15">
        <v>360</v>
      </c>
      <c r="J15">
        <v>180</v>
      </c>
      <c r="K15" s="3">
        <v>4.4813999999999998</v>
      </c>
      <c r="L15" s="3">
        <f>(H15+I15+J15)*K15</f>
        <v>3226.6079999999997</v>
      </c>
      <c r="M15" s="4">
        <v>1.7869999999999999</v>
      </c>
      <c r="N15" s="4">
        <f>H15*M15</f>
        <v>321.65999999999997</v>
      </c>
      <c r="O15" s="4">
        <f>M15*I15</f>
        <v>643.31999999999994</v>
      </c>
      <c r="P15" s="4">
        <f>M15*J15</f>
        <v>321.65999999999997</v>
      </c>
      <c r="Q15">
        <v>73064000</v>
      </c>
    </row>
    <row r="16" spans="1:18" x14ac:dyDescent="0.35">
      <c r="A16">
        <v>15</v>
      </c>
      <c r="B16" t="s">
        <v>49</v>
      </c>
      <c r="C16" t="s">
        <v>19</v>
      </c>
      <c r="D16" t="s">
        <v>20</v>
      </c>
      <c r="E16" s="2">
        <v>304</v>
      </c>
      <c r="F16" t="s">
        <v>50</v>
      </c>
      <c r="G16" t="s">
        <v>22</v>
      </c>
      <c r="H16">
        <v>180</v>
      </c>
      <c r="I16">
        <v>360</v>
      </c>
      <c r="J16">
        <v>180</v>
      </c>
      <c r="K16" s="3">
        <v>6.0528000000000004</v>
      </c>
      <c r="L16" s="3">
        <f>(H16+I16+J16)*K16</f>
        <v>4358.0160000000005</v>
      </c>
      <c r="M16" s="4">
        <v>2.4156</v>
      </c>
      <c r="N16" s="4">
        <f>H16*M16</f>
        <v>434.80799999999999</v>
      </c>
      <c r="O16" s="4">
        <f>M16*I16</f>
        <v>869.61599999999999</v>
      </c>
      <c r="P16" s="4">
        <f>M16*J16</f>
        <v>434.80799999999999</v>
      </c>
      <c r="Q16">
        <v>73064000</v>
      </c>
    </row>
    <row r="17" spans="1:17" x14ac:dyDescent="0.35">
      <c r="A17">
        <v>16</v>
      </c>
      <c r="B17" t="s">
        <v>33</v>
      </c>
      <c r="C17" t="s">
        <v>19</v>
      </c>
      <c r="D17" t="s">
        <v>20</v>
      </c>
      <c r="E17" s="2">
        <v>304</v>
      </c>
      <c r="F17" t="s">
        <v>51</v>
      </c>
      <c r="G17" t="s">
        <v>22</v>
      </c>
      <c r="H17">
        <v>210</v>
      </c>
      <c r="I17">
        <v>540</v>
      </c>
      <c r="J17">
        <v>270</v>
      </c>
      <c r="K17" s="3">
        <v>7.41</v>
      </c>
      <c r="L17" s="3">
        <f>(H17+I17+J17)*K17</f>
        <v>7558.2</v>
      </c>
      <c r="M17" s="4">
        <v>2.7732000000000001</v>
      </c>
      <c r="N17" s="4">
        <f>H17*M17</f>
        <v>582.37200000000007</v>
      </c>
      <c r="O17" s="4">
        <f>M17*I17</f>
        <v>1497.528</v>
      </c>
      <c r="P17" s="4">
        <f>M17*J17</f>
        <v>748.76400000000001</v>
      </c>
      <c r="Q17">
        <v>73064000</v>
      </c>
    </row>
    <row r="18" spans="1:17" x14ac:dyDescent="0.35">
      <c r="A18">
        <v>17</v>
      </c>
      <c r="B18" t="s">
        <v>37</v>
      </c>
      <c r="C18" t="s">
        <v>19</v>
      </c>
      <c r="D18" t="s">
        <v>20</v>
      </c>
      <c r="E18" s="2">
        <v>304</v>
      </c>
      <c r="F18" t="s">
        <v>52</v>
      </c>
      <c r="G18" t="s">
        <v>22</v>
      </c>
      <c r="H18">
        <v>210</v>
      </c>
      <c r="I18">
        <v>480</v>
      </c>
      <c r="J18">
        <v>240</v>
      </c>
      <c r="K18" s="3">
        <v>9.93</v>
      </c>
      <c r="L18" s="3">
        <f>(H18+I18+J18)*K18</f>
        <v>9234.9</v>
      </c>
      <c r="M18" s="4">
        <v>3.7162000000000002</v>
      </c>
      <c r="N18" s="4">
        <f>H18*M18</f>
        <v>780.40200000000004</v>
      </c>
      <c r="O18" s="4">
        <f>M18*I18</f>
        <v>1783.7760000000001</v>
      </c>
      <c r="P18" s="4">
        <f>M18*J18</f>
        <v>891.88800000000003</v>
      </c>
      <c r="Q18">
        <v>73064000</v>
      </c>
    </row>
    <row r="19" spans="1:17" x14ac:dyDescent="0.35">
      <c r="A19">
        <v>18</v>
      </c>
      <c r="B19" t="s">
        <v>53</v>
      </c>
      <c r="C19" t="s">
        <v>19</v>
      </c>
      <c r="D19" t="s">
        <v>20</v>
      </c>
      <c r="E19" s="2" t="s">
        <v>54</v>
      </c>
      <c r="F19" t="s">
        <v>46</v>
      </c>
      <c r="G19" t="s">
        <v>22</v>
      </c>
      <c r="H19">
        <v>90</v>
      </c>
      <c r="K19" s="3">
        <v>5.86</v>
      </c>
      <c r="L19" s="3">
        <f>(H19+I19+J19)*K19</f>
        <v>527.4</v>
      </c>
      <c r="M19" s="4">
        <v>1.1579999999999999</v>
      </c>
      <c r="N19" s="4">
        <f>H19*M19</f>
        <v>104.22</v>
      </c>
      <c r="Q19">
        <v>73064000</v>
      </c>
    </row>
    <row r="20" spans="1:17" x14ac:dyDescent="0.35">
      <c r="A20">
        <v>19</v>
      </c>
      <c r="B20" t="s">
        <v>55</v>
      </c>
      <c r="C20" t="s">
        <v>19</v>
      </c>
      <c r="D20" t="s">
        <v>20</v>
      </c>
      <c r="E20" s="2" t="s">
        <v>54</v>
      </c>
      <c r="F20" t="s">
        <v>48</v>
      </c>
      <c r="G20" t="s">
        <v>22</v>
      </c>
      <c r="H20">
        <v>90</v>
      </c>
      <c r="K20" s="3">
        <v>9.02</v>
      </c>
      <c r="L20" s="3">
        <f>(H20+I20+J20)*K20</f>
        <v>811.8</v>
      </c>
      <c r="M20" s="4">
        <v>1.7869999999999999</v>
      </c>
      <c r="N20" s="4">
        <f>H20*M20</f>
        <v>160.82999999999998</v>
      </c>
      <c r="Q20">
        <v>73064000</v>
      </c>
    </row>
    <row r="21" spans="1:17" x14ac:dyDescent="0.35">
      <c r="A21">
        <v>20</v>
      </c>
      <c r="B21" t="s">
        <v>56</v>
      </c>
      <c r="C21" t="s">
        <v>19</v>
      </c>
      <c r="D21" t="s">
        <v>20</v>
      </c>
      <c r="E21" s="2" t="s">
        <v>54</v>
      </c>
      <c r="F21" t="s">
        <v>50</v>
      </c>
      <c r="G21" t="s">
        <v>22</v>
      </c>
      <c r="H21">
        <v>90</v>
      </c>
      <c r="K21" s="3">
        <v>12.18</v>
      </c>
      <c r="L21" s="3">
        <f>(H21+I21+J21)*K21</f>
        <v>1096.2</v>
      </c>
      <c r="M21" s="4">
        <v>2.4156</v>
      </c>
      <c r="N21" s="4">
        <f>H21*M21</f>
        <v>217.404</v>
      </c>
      <c r="Q21">
        <v>73064000</v>
      </c>
    </row>
    <row r="22" spans="1:17" x14ac:dyDescent="0.35">
      <c r="A22">
        <v>21</v>
      </c>
      <c r="B22" t="s">
        <v>57</v>
      </c>
      <c r="C22" t="s">
        <v>19</v>
      </c>
      <c r="D22" t="s">
        <v>20</v>
      </c>
      <c r="E22" s="2" t="s">
        <v>54</v>
      </c>
      <c r="F22" t="s">
        <v>21</v>
      </c>
      <c r="G22" t="s">
        <v>22</v>
      </c>
      <c r="H22">
        <v>300</v>
      </c>
      <c r="K22" s="3">
        <v>3.49</v>
      </c>
      <c r="L22" s="3">
        <f>(H22+I22+J22)*K22</f>
        <v>1047</v>
      </c>
      <c r="M22" s="4">
        <v>0.65154375000000009</v>
      </c>
      <c r="N22" s="4">
        <f>H22*M22</f>
        <v>195.46312500000002</v>
      </c>
      <c r="Q22">
        <v>73064000</v>
      </c>
    </row>
    <row r="23" spans="1:17" x14ac:dyDescent="0.35">
      <c r="A23">
        <v>22</v>
      </c>
      <c r="B23" t="s">
        <v>58</v>
      </c>
      <c r="C23" t="s">
        <v>19</v>
      </c>
      <c r="D23" t="s">
        <v>20</v>
      </c>
      <c r="E23" s="2" t="s">
        <v>54</v>
      </c>
      <c r="F23" t="s">
        <v>24</v>
      </c>
      <c r="G23" t="s">
        <v>22</v>
      </c>
      <c r="H23">
        <v>210</v>
      </c>
      <c r="K23" s="3">
        <v>4.7</v>
      </c>
      <c r="L23" s="3">
        <f>(H23+I23+J23)*K23</f>
        <v>987</v>
      </c>
      <c r="M23" s="4">
        <v>0.8872874999999999</v>
      </c>
      <c r="N23" s="4">
        <f>H23*M23</f>
        <v>186.33037499999998</v>
      </c>
      <c r="Q23">
        <v>73064000</v>
      </c>
    </row>
    <row r="24" spans="1:17" x14ac:dyDescent="0.35">
      <c r="A24">
        <v>23</v>
      </c>
      <c r="B24" t="s">
        <v>59</v>
      </c>
      <c r="C24" t="s">
        <v>19</v>
      </c>
      <c r="D24" t="s">
        <v>20</v>
      </c>
      <c r="E24" s="2" t="s">
        <v>54</v>
      </c>
      <c r="F24" t="s">
        <v>28</v>
      </c>
      <c r="G24" t="s">
        <v>22</v>
      </c>
      <c r="H24">
        <v>552</v>
      </c>
      <c r="K24" s="3">
        <v>7.08</v>
      </c>
      <c r="L24" s="3">
        <f>(H24+I24+J24)*K24</f>
        <v>3908.16</v>
      </c>
      <c r="M24" s="4">
        <v>1.3587750000000003</v>
      </c>
      <c r="N24" s="4">
        <f>H24*M24</f>
        <v>750.04380000000015</v>
      </c>
      <c r="Q24">
        <v>73064000</v>
      </c>
    </row>
    <row r="25" spans="1:17" x14ac:dyDescent="0.35">
      <c r="A25">
        <v>24</v>
      </c>
      <c r="B25" t="s">
        <v>60</v>
      </c>
      <c r="C25" t="s">
        <v>19</v>
      </c>
      <c r="D25" t="s">
        <v>20</v>
      </c>
      <c r="E25" s="2" t="s">
        <v>54</v>
      </c>
      <c r="F25" t="s">
        <v>30</v>
      </c>
      <c r="G25" t="s">
        <v>22</v>
      </c>
      <c r="H25">
        <v>882</v>
      </c>
      <c r="K25" s="3">
        <v>9.5299999999999994</v>
      </c>
      <c r="L25" s="3">
        <f>(H25+I25+J25)*K25</f>
        <v>8405.4599999999991</v>
      </c>
      <c r="M25" s="4">
        <v>1.8302624999999999</v>
      </c>
      <c r="N25" s="4">
        <f>H25*M25</f>
        <v>1614.2915249999999</v>
      </c>
      <c r="Q25">
        <v>73064000</v>
      </c>
    </row>
    <row r="26" spans="1:17" x14ac:dyDescent="0.35">
      <c r="A26">
        <v>25</v>
      </c>
      <c r="B26" t="s">
        <v>61</v>
      </c>
      <c r="C26" t="s">
        <v>19</v>
      </c>
      <c r="D26" t="s">
        <v>20</v>
      </c>
      <c r="E26" s="2" t="s">
        <v>54</v>
      </c>
      <c r="F26" t="s">
        <v>32</v>
      </c>
      <c r="G26" t="s">
        <v>22</v>
      </c>
      <c r="H26">
        <v>150</v>
      </c>
      <c r="K26" s="3">
        <v>11.59</v>
      </c>
      <c r="L26" s="3">
        <f>(H26+I26+J26)*K26</f>
        <v>1738.5</v>
      </c>
      <c r="M26" s="4">
        <v>2.3017500000000002</v>
      </c>
      <c r="N26" s="4">
        <f>H26*M26</f>
        <v>345.26250000000005</v>
      </c>
      <c r="Q26">
        <v>73064000</v>
      </c>
    </row>
    <row r="27" spans="1:17" x14ac:dyDescent="0.35">
      <c r="A27">
        <v>26</v>
      </c>
      <c r="B27" t="s">
        <v>62</v>
      </c>
      <c r="C27" t="s">
        <v>19</v>
      </c>
      <c r="D27" t="s">
        <v>20</v>
      </c>
      <c r="E27" s="2" t="s">
        <v>54</v>
      </c>
      <c r="F27" t="s">
        <v>36</v>
      </c>
      <c r="G27" t="s">
        <v>22</v>
      </c>
      <c r="H27">
        <v>210</v>
      </c>
      <c r="K27" s="3">
        <v>16.3154</v>
      </c>
      <c r="L27" s="3">
        <f>(H27+I27+J27)*K27</f>
        <v>3426.2339999999999</v>
      </c>
      <c r="M27" s="4">
        <v>3.6729000000000003</v>
      </c>
      <c r="N27" s="4">
        <f>H27*M27</f>
        <v>771.30900000000008</v>
      </c>
      <c r="Q27">
        <v>73064000</v>
      </c>
    </row>
    <row r="28" spans="1:17" x14ac:dyDescent="0.35">
      <c r="A28">
        <v>27</v>
      </c>
      <c r="B28" t="s">
        <v>63</v>
      </c>
      <c r="C28" t="s">
        <v>19</v>
      </c>
      <c r="D28" t="s">
        <v>20</v>
      </c>
      <c r="E28" s="2" t="s">
        <v>54</v>
      </c>
      <c r="F28" t="s">
        <v>40</v>
      </c>
      <c r="G28" t="s">
        <v>22</v>
      </c>
      <c r="H28">
        <v>210</v>
      </c>
      <c r="K28" s="3">
        <v>21.883199999999999</v>
      </c>
      <c r="L28" s="3">
        <f>(H28+I28+J28)*K28</f>
        <v>4595.4719999999998</v>
      </c>
      <c r="M28" s="4">
        <v>4.9302000000000001</v>
      </c>
      <c r="N28" s="4">
        <f>H28*M28</f>
        <v>1035.3420000000001</v>
      </c>
      <c r="Q28">
        <v>73064000</v>
      </c>
    </row>
    <row r="29" spans="1:17" x14ac:dyDescent="0.35">
      <c r="A29">
        <v>28</v>
      </c>
      <c r="B29" t="s">
        <v>64</v>
      </c>
      <c r="C29" t="s">
        <v>19</v>
      </c>
      <c r="D29" t="s">
        <v>20</v>
      </c>
      <c r="E29" s="2" t="s">
        <v>54</v>
      </c>
      <c r="F29" t="s">
        <v>44</v>
      </c>
      <c r="G29" t="s">
        <v>22</v>
      </c>
      <c r="H29">
        <v>204</v>
      </c>
      <c r="K29" s="3">
        <v>33.028499999999994</v>
      </c>
      <c r="L29" s="3">
        <f>(H29+I29+J29)*K29</f>
        <v>6737.8139999999985</v>
      </c>
      <c r="M29" s="4">
        <v>7.4447999999999999</v>
      </c>
      <c r="N29" s="4">
        <f>H29*M29</f>
        <v>1518.7392</v>
      </c>
      <c r="Q29">
        <v>73064000</v>
      </c>
    </row>
    <row r="30" spans="1:17" x14ac:dyDescent="0.35">
      <c r="A30">
        <v>29</v>
      </c>
      <c r="B30" t="s">
        <v>65</v>
      </c>
      <c r="C30" t="s">
        <v>19</v>
      </c>
      <c r="D30" t="s">
        <v>20</v>
      </c>
      <c r="E30" s="2" t="s">
        <v>54</v>
      </c>
      <c r="F30" t="s">
        <v>66</v>
      </c>
      <c r="G30" t="s">
        <v>22</v>
      </c>
      <c r="H30">
        <v>240</v>
      </c>
      <c r="K30" s="3">
        <v>4.8499999999999996</v>
      </c>
      <c r="L30" s="3">
        <f>(H30+I30+J30)*K30</f>
        <v>1164</v>
      </c>
      <c r="M30" s="4">
        <v>0.95199999999999996</v>
      </c>
      <c r="N30" s="4">
        <f>H30*M30</f>
        <v>228.48</v>
      </c>
      <c r="Q30">
        <v>73064000</v>
      </c>
    </row>
    <row r="31" spans="1:17" x14ac:dyDescent="0.35">
      <c r="A31">
        <v>30</v>
      </c>
      <c r="B31" t="s">
        <v>67</v>
      </c>
      <c r="C31" t="s">
        <v>19</v>
      </c>
      <c r="D31" t="s">
        <v>20</v>
      </c>
      <c r="E31" s="2" t="s">
        <v>54</v>
      </c>
      <c r="F31" t="s">
        <v>68</v>
      </c>
      <c r="G31" t="s">
        <v>22</v>
      </c>
      <c r="H31">
        <v>240</v>
      </c>
      <c r="K31" s="3">
        <v>7.4205000000000005</v>
      </c>
      <c r="L31" s="3">
        <f>(H31+I31+J31)*K31</f>
        <v>1780.92</v>
      </c>
      <c r="M31" s="4">
        <v>1.458</v>
      </c>
      <c r="N31" s="4">
        <f>H31*M31</f>
        <v>349.92</v>
      </c>
      <c r="Q31">
        <v>73064000</v>
      </c>
    </row>
    <row r="32" spans="1:17" x14ac:dyDescent="0.35">
      <c r="A32">
        <v>31</v>
      </c>
      <c r="B32" t="s">
        <v>69</v>
      </c>
      <c r="C32" t="s">
        <v>19</v>
      </c>
      <c r="D32" t="s">
        <v>20</v>
      </c>
      <c r="E32" s="2" t="s">
        <v>54</v>
      </c>
      <c r="F32" t="s">
        <v>70</v>
      </c>
      <c r="G32" t="s">
        <v>22</v>
      </c>
      <c r="H32">
        <v>240</v>
      </c>
      <c r="K32" s="3">
        <v>10.0007</v>
      </c>
      <c r="L32" s="3">
        <f>(H32+I32+J32)*K32</f>
        <v>2400.1680000000001</v>
      </c>
      <c r="M32" s="4">
        <v>1.964</v>
      </c>
      <c r="N32" s="4">
        <f>H32*M32</f>
        <v>471.36</v>
      </c>
      <c r="Q32">
        <v>73064000</v>
      </c>
    </row>
    <row r="33" spans="1:16" x14ac:dyDescent="0.35">
      <c r="K33" t="s">
        <v>71</v>
      </c>
      <c r="L33" s="3">
        <f>SUM(L2:L32)</f>
        <v>304160.35200000007</v>
      </c>
      <c r="N33" s="4">
        <f>SUM(N2:N32)</f>
        <v>26930.273962499999</v>
      </c>
      <c r="O33" s="4">
        <f>SUM(O2:O32)</f>
        <v>53643.780374999995</v>
      </c>
      <c r="P33" s="4">
        <f>SUM(P2:P32)</f>
        <v>26821.890187499997</v>
      </c>
    </row>
    <row r="36" spans="1:16" ht="29" x14ac:dyDescent="0.35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7</v>
      </c>
      <c r="I36" s="1" t="s">
        <v>72</v>
      </c>
      <c r="J36" s="1" t="s">
        <v>10</v>
      </c>
      <c r="K36" s="1" t="s">
        <v>11</v>
      </c>
      <c r="L36" s="1" t="s">
        <v>12</v>
      </c>
      <c r="M36" s="1" t="s">
        <v>13</v>
      </c>
      <c r="N36" s="1" t="s">
        <v>14</v>
      </c>
      <c r="O36" s="1" t="s">
        <v>16</v>
      </c>
      <c r="P36" s="1" t="s">
        <v>17</v>
      </c>
    </row>
    <row r="37" spans="1:16" x14ac:dyDescent="0.35">
      <c r="A37">
        <v>1</v>
      </c>
      <c r="B37" t="s">
        <v>73</v>
      </c>
      <c r="C37" t="s">
        <v>74</v>
      </c>
      <c r="D37" t="s">
        <v>75</v>
      </c>
      <c r="E37">
        <v>304</v>
      </c>
      <c r="F37" s="5" t="s">
        <v>76</v>
      </c>
      <c r="G37" t="s">
        <v>22</v>
      </c>
      <c r="H37">
        <v>210</v>
      </c>
      <c r="I37">
        <f>H37</f>
        <v>210</v>
      </c>
      <c r="J37" s="6">
        <v>2.2795000000000001</v>
      </c>
      <c r="K37" s="3">
        <f>(H37+I37)*J37</f>
        <v>957.39</v>
      </c>
      <c r="L37">
        <v>1.0960000000000001</v>
      </c>
      <c r="M37" s="4">
        <f>L37*H37</f>
        <v>230.16000000000003</v>
      </c>
      <c r="N37" s="4">
        <f>L37*I37</f>
        <v>230.16000000000003</v>
      </c>
      <c r="O37" s="7">
        <v>73066100</v>
      </c>
    </row>
    <row r="38" spans="1:16" x14ac:dyDescent="0.35">
      <c r="A38">
        <v>2</v>
      </c>
      <c r="B38" t="s">
        <v>77</v>
      </c>
      <c r="C38" t="s">
        <v>74</v>
      </c>
      <c r="D38" t="s">
        <v>75</v>
      </c>
      <c r="E38">
        <v>304</v>
      </c>
      <c r="F38" s="5" t="s">
        <v>78</v>
      </c>
      <c r="G38" t="s">
        <v>22</v>
      </c>
      <c r="H38">
        <v>210</v>
      </c>
      <c r="I38">
        <f>H38</f>
        <v>210</v>
      </c>
      <c r="J38" s="6">
        <v>2.7935999999999996</v>
      </c>
      <c r="K38" s="3">
        <f>(H38+I38)*J38</f>
        <v>1173.3119999999999</v>
      </c>
      <c r="L38">
        <v>1.2866</v>
      </c>
      <c r="M38" s="4">
        <f>L38*H38</f>
        <v>270.18599999999998</v>
      </c>
      <c r="N38" s="4">
        <f>L38*I38</f>
        <v>270.18599999999998</v>
      </c>
      <c r="O38" s="7">
        <v>73066100</v>
      </c>
    </row>
    <row r="39" spans="1:16" x14ac:dyDescent="0.35">
      <c r="A39">
        <v>3</v>
      </c>
      <c r="B39" t="s">
        <v>79</v>
      </c>
      <c r="C39" t="s">
        <v>74</v>
      </c>
      <c r="D39" t="s">
        <v>75</v>
      </c>
      <c r="E39">
        <v>304</v>
      </c>
      <c r="F39" s="5" t="s">
        <v>80</v>
      </c>
      <c r="G39" t="s">
        <v>22</v>
      </c>
      <c r="H39">
        <v>210</v>
      </c>
      <c r="I39">
        <f>H39</f>
        <v>210</v>
      </c>
      <c r="J39" s="6">
        <v>3.0457999999999998</v>
      </c>
      <c r="K39" s="3">
        <f>(H39+I39)*J39</f>
        <v>1279.2359999999999</v>
      </c>
      <c r="L39">
        <v>1.4769000000000001</v>
      </c>
      <c r="M39" s="4">
        <f>L39*H39</f>
        <v>310.149</v>
      </c>
      <c r="N39" s="4">
        <f>L39*I39</f>
        <v>310.149</v>
      </c>
      <c r="O39" s="7">
        <v>73066100</v>
      </c>
    </row>
    <row r="40" spans="1:16" x14ac:dyDescent="0.35">
      <c r="A40">
        <v>4</v>
      </c>
      <c r="B40" t="s">
        <v>81</v>
      </c>
      <c r="C40" t="s">
        <v>74</v>
      </c>
      <c r="D40" t="s">
        <v>82</v>
      </c>
      <c r="E40">
        <v>304</v>
      </c>
      <c r="F40" s="5" t="s">
        <v>83</v>
      </c>
      <c r="G40" t="s">
        <v>22</v>
      </c>
      <c r="H40">
        <v>624</v>
      </c>
      <c r="I40">
        <f>H40</f>
        <v>624</v>
      </c>
      <c r="J40" s="6">
        <v>1.44</v>
      </c>
      <c r="K40" s="3">
        <f>(H40+I40)*J40</f>
        <v>1797.12</v>
      </c>
      <c r="L40">
        <v>0.64232999999999996</v>
      </c>
      <c r="M40" s="4">
        <f>L40*H40</f>
        <v>400.81392</v>
      </c>
      <c r="N40" s="4">
        <f>L40*I40</f>
        <v>400.81392</v>
      </c>
      <c r="O40" s="7">
        <v>73066100</v>
      </c>
    </row>
    <row r="41" spans="1:16" x14ac:dyDescent="0.35">
      <c r="A41">
        <v>5</v>
      </c>
      <c r="B41" t="s">
        <v>84</v>
      </c>
      <c r="C41" t="s">
        <v>74</v>
      </c>
      <c r="D41" t="s">
        <v>82</v>
      </c>
      <c r="E41">
        <v>304</v>
      </c>
      <c r="F41" s="5" t="s">
        <v>85</v>
      </c>
      <c r="G41" t="s">
        <v>22</v>
      </c>
      <c r="H41">
        <v>396</v>
      </c>
      <c r="I41">
        <f>H41</f>
        <v>396</v>
      </c>
      <c r="J41" s="6">
        <v>1.89</v>
      </c>
      <c r="K41" s="3">
        <f>(H41+I41)*J41</f>
        <v>1496.8799999999999</v>
      </c>
      <c r="L41">
        <v>0.88022999999999996</v>
      </c>
      <c r="M41" s="4">
        <f>L41*H41</f>
        <v>348.57107999999999</v>
      </c>
      <c r="N41" s="4">
        <f>L41*I41</f>
        <v>348.57107999999999</v>
      </c>
      <c r="O41" s="7">
        <v>73066100</v>
      </c>
    </row>
    <row r="42" spans="1:16" x14ac:dyDescent="0.35">
      <c r="A42">
        <v>6</v>
      </c>
      <c r="B42" t="s">
        <v>86</v>
      </c>
      <c r="C42" t="s">
        <v>74</v>
      </c>
      <c r="D42" t="s">
        <v>82</v>
      </c>
      <c r="E42">
        <v>304</v>
      </c>
      <c r="F42" s="5" t="s">
        <v>87</v>
      </c>
      <c r="G42" t="s">
        <v>22</v>
      </c>
      <c r="H42">
        <v>504</v>
      </c>
      <c r="I42">
        <f>H42</f>
        <v>504</v>
      </c>
      <c r="J42" s="6">
        <v>2.89</v>
      </c>
      <c r="K42" s="3">
        <f>(H42+I42)*J42</f>
        <v>2913.1200000000003</v>
      </c>
      <c r="L42">
        <v>1.3560299999999998</v>
      </c>
      <c r="M42" s="4">
        <f>L42*H42</f>
        <v>683.43911999999989</v>
      </c>
      <c r="N42" s="4">
        <f>L42*I42</f>
        <v>683.43911999999989</v>
      </c>
      <c r="O42" s="7">
        <v>73066100</v>
      </c>
    </row>
    <row r="43" spans="1:16" x14ac:dyDescent="0.35">
      <c r="A43">
        <v>7</v>
      </c>
      <c r="B43" t="s">
        <v>88</v>
      </c>
      <c r="C43" t="s">
        <v>74</v>
      </c>
      <c r="D43" t="s">
        <v>82</v>
      </c>
      <c r="E43">
        <v>304</v>
      </c>
      <c r="F43" s="5" t="s">
        <v>89</v>
      </c>
      <c r="G43" t="s">
        <v>22</v>
      </c>
      <c r="H43">
        <v>300</v>
      </c>
      <c r="I43">
        <f>H43</f>
        <v>300</v>
      </c>
      <c r="J43" s="6">
        <v>3.4</v>
      </c>
      <c r="K43" s="3">
        <f>(H43+I43)*J43</f>
        <v>2040</v>
      </c>
      <c r="L43">
        <v>1.5939299999999998</v>
      </c>
      <c r="M43" s="4">
        <f>L43*H43</f>
        <v>478.17899999999997</v>
      </c>
      <c r="N43" s="4">
        <f>L43*I43</f>
        <v>478.17899999999997</v>
      </c>
      <c r="O43" s="7">
        <v>73066100</v>
      </c>
    </row>
    <row r="44" spans="1:16" x14ac:dyDescent="0.35">
      <c r="A44">
        <v>8</v>
      </c>
      <c r="B44" t="s">
        <v>90</v>
      </c>
      <c r="C44" t="s">
        <v>74</v>
      </c>
      <c r="D44" t="s">
        <v>82</v>
      </c>
      <c r="E44">
        <v>304</v>
      </c>
      <c r="F44" s="5" t="s">
        <v>91</v>
      </c>
      <c r="G44" t="s">
        <v>22</v>
      </c>
      <c r="H44">
        <v>396</v>
      </c>
      <c r="I44">
        <f>H44</f>
        <v>396</v>
      </c>
      <c r="J44" s="6">
        <v>3.9</v>
      </c>
      <c r="K44" s="3">
        <f>(H44+I44)*J44</f>
        <v>3088.7999999999997</v>
      </c>
      <c r="L44">
        <v>1.8318299999999998</v>
      </c>
      <c r="M44" s="4">
        <f>L44*H44</f>
        <v>725.40467999999998</v>
      </c>
      <c r="N44" s="4">
        <f>L44*I44</f>
        <v>725.40467999999998</v>
      </c>
      <c r="O44" s="7">
        <v>73066100</v>
      </c>
    </row>
    <row r="45" spans="1:16" x14ac:dyDescent="0.35">
      <c r="A45">
        <v>9</v>
      </c>
      <c r="B45" t="s">
        <v>92</v>
      </c>
      <c r="C45" t="s">
        <v>74</v>
      </c>
      <c r="D45" t="s">
        <v>82</v>
      </c>
      <c r="E45">
        <v>304</v>
      </c>
      <c r="F45" s="5" t="s">
        <v>93</v>
      </c>
      <c r="G45" t="s">
        <v>22</v>
      </c>
      <c r="H45">
        <v>210</v>
      </c>
      <c r="I45">
        <f>H45</f>
        <v>210</v>
      </c>
      <c r="J45" s="6">
        <v>4.9000000000000004</v>
      </c>
      <c r="K45" s="3">
        <f>(H45+I45)*J45</f>
        <v>2058</v>
      </c>
      <c r="L45">
        <v>2.3076300000000001</v>
      </c>
      <c r="M45" s="4">
        <f>L45*H45</f>
        <v>484.60230000000001</v>
      </c>
      <c r="N45" s="4">
        <f>L45*I45</f>
        <v>484.60230000000001</v>
      </c>
      <c r="O45" s="7">
        <v>73066100</v>
      </c>
    </row>
    <row r="46" spans="1:16" x14ac:dyDescent="0.35">
      <c r="A46">
        <v>10</v>
      </c>
      <c r="B46" t="s">
        <v>94</v>
      </c>
      <c r="C46" t="s">
        <v>74</v>
      </c>
      <c r="D46" t="s">
        <v>82</v>
      </c>
      <c r="E46">
        <v>304</v>
      </c>
      <c r="F46" s="5" t="s">
        <v>95</v>
      </c>
      <c r="G46" t="s">
        <v>22</v>
      </c>
      <c r="H46">
        <v>120</v>
      </c>
      <c r="I46">
        <f>H46</f>
        <v>120</v>
      </c>
      <c r="J46" s="6">
        <v>7.39</v>
      </c>
      <c r="K46" s="3">
        <f>(H46+I46)*J46</f>
        <v>1773.6</v>
      </c>
      <c r="L46">
        <v>3.4971299999999998</v>
      </c>
      <c r="M46" s="4">
        <f>L46*H46</f>
        <v>419.65559999999999</v>
      </c>
      <c r="N46" s="4">
        <f>L46*I46</f>
        <v>419.65559999999999</v>
      </c>
      <c r="O46" s="7">
        <v>73066100</v>
      </c>
    </row>
    <row r="47" spans="1:16" x14ac:dyDescent="0.35">
      <c r="A47">
        <v>11</v>
      </c>
      <c r="B47" t="s">
        <v>96</v>
      </c>
      <c r="C47" t="s">
        <v>74</v>
      </c>
      <c r="D47" t="s">
        <v>97</v>
      </c>
      <c r="E47">
        <v>304</v>
      </c>
      <c r="F47" s="5" t="s">
        <v>98</v>
      </c>
      <c r="G47" t="s">
        <v>22</v>
      </c>
      <c r="H47">
        <v>300</v>
      </c>
      <c r="I47">
        <f>H47</f>
        <v>300</v>
      </c>
      <c r="J47" s="6">
        <v>6.43</v>
      </c>
      <c r="K47" s="3">
        <f>(H47+I47)*J47</f>
        <v>3858</v>
      </c>
      <c r="L47">
        <v>3.0451000000000001</v>
      </c>
      <c r="M47" s="4">
        <f>L47*H47</f>
        <v>913.53000000000009</v>
      </c>
      <c r="N47" s="4">
        <f>L47*I47</f>
        <v>913.53000000000009</v>
      </c>
      <c r="O47" s="7">
        <v>73066100</v>
      </c>
    </row>
    <row r="48" spans="1:16" x14ac:dyDescent="0.35">
      <c r="A48">
        <v>12</v>
      </c>
      <c r="B48" t="s">
        <v>99</v>
      </c>
      <c r="C48" t="s">
        <v>74</v>
      </c>
      <c r="D48" t="s">
        <v>97</v>
      </c>
      <c r="E48">
        <v>304</v>
      </c>
      <c r="F48" s="5" t="s">
        <v>100</v>
      </c>
      <c r="G48" t="s">
        <v>22</v>
      </c>
      <c r="H48">
        <v>210</v>
      </c>
      <c r="I48">
        <f>H48</f>
        <v>210</v>
      </c>
      <c r="J48" s="6">
        <v>9.56</v>
      </c>
      <c r="K48" s="3">
        <f>(H48+I48)*J48</f>
        <v>4015.2000000000003</v>
      </c>
      <c r="L48">
        <v>4.6311</v>
      </c>
      <c r="M48" s="4">
        <f>L48*H48</f>
        <v>972.53099999999995</v>
      </c>
      <c r="N48" s="4">
        <f>L48*I48</f>
        <v>972.53099999999995</v>
      </c>
      <c r="O48" s="7">
        <v>73066100</v>
      </c>
    </row>
    <row r="49" spans="1:15" x14ac:dyDescent="0.35">
      <c r="A49">
        <v>13</v>
      </c>
      <c r="B49" t="s">
        <v>101</v>
      </c>
      <c r="C49" t="s">
        <v>74</v>
      </c>
      <c r="D49" t="s">
        <v>97</v>
      </c>
      <c r="E49">
        <v>304</v>
      </c>
      <c r="F49" s="5" t="s">
        <v>102</v>
      </c>
      <c r="G49" t="s">
        <v>22</v>
      </c>
      <c r="H49">
        <v>210</v>
      </c>
      <c r="I49">
        <f>H49</f>
        <v>210</v>
      </c>
      <c r="J49" s="6">
        <v>4.2699999999999996</v>
      </c>
      <c r="K49" s="3">
        <f>(H49+I49)*J49</f>
        <v>1793.3999999999999</v>
      </c>
      <c r="L49">
        <v>2.06</v>
      </c>
      <c r="M49" s="4">
        <f>L49*H49</f>
        <v>432.6</v>
      </c>
      <c r="N49" s="4">
        <f>L49*I49</f>
        <v>432.6</v>
      </c>
      <c r="O49" s="7">
        <v>73066100</v>
      </c>
    </row>
    <row r="50" spans="1:15" x14ac:dyDescent="0.35">
      <c r="A50">
        <v>14</v>
      </c>
      <c r="B50" t="s">
        <v>79</v>
      </c>
      <c r="C50" t="s">
        <v>74</v>
      </c>
      <c r="D50" t="s">
        <v>97</v>
      </c>
      <c r="E50">
        <v>304</v>
      </c>
      <c r="F50" s="5" t="s">
        <v>80</v>
      </c>
      <c r="G50" t="s">
        <v>22</v>
      </c>
      <c r="H50">
        <v>210</v>
      </c>
      <c r="I50">
        <f>H50</f>
        <v>210</v>
      </c>
      <c r="J50" s="6">
        <v>3.14</v>
      </c>
      <c r="K50" s="3">
        <f>(H50+I50)*J50</f>
        <v>1318.8</v>
      </c>
      <c r="L50">
        <v>1.4770000000000001</v>
      </c>
      <c r="M50" s="4">
        <f>L50*H50</f>
        <v>310.17</v>
      </c>
      <c r="N50" s="4">
        <f>L50*I50</f>
        <v>310.17</v>
      </c>
      <c r="O50" s="7">
        <v>73066100</v>
      </c>
    </row>
    <row r="51" spans="1:15" x14ac:dyDescent="0.35">
      <c r="A51">
        <v>15</v>
      </c>
      <c r="B51" t="s">
        <v>103</v>
      </c>
      <c r="C51" t="s">
        <v>74</v>
      </c>
      <c r="D51" t="s">
        <v>104</v>
      </c>
      <c r="E51">
        <v>304</v>
      </c>
      <c r="F51" s="5" t="s">
        <v>105</v>
      </c>
      <c r="G51" t="s">
        <v>22</v>
      </c>
      <c r="H51">
        <v>1572</v>
      </c>
      <c r="I51">
        <f>H51</f>
        <v>1572</v>
      </c>
      <c r="J51" s="6">
        <v>1.89</v>
      </c>
      <c r="K51" s="3">
        <f>(H51+I51)*J51</f>
        <v>5942.16</v>
      </c>
      <c r="L51">
        <v>0.87134999999999996</v>
      </c>
      <c r="M51" s="4">
        <f>L51*H51</f>
        <v>1369.7621999999999</v>
      </c>
      <c r="N51" s="4">
        <f>L51*I51</f>
        <v>1369.7621999999999</v>
      </c>
      <c r="O51" s="7">
        <v>73066100</v>
      </c>
    </row>
    <row r="52" spans="1:15" x14ac:dyDescent="0.35">
      <c r="A52">
        <v>16</v>
      </c>
      <c r="B52" t="s">
        <v>106</v>
      </c>
      <c r="C52" t="s">
        <v>74</v>
      </c>
      <c r="D52" t="s">
        <v>104</v>
      </c>
      <c r="E52">
        <v>304</v>
      </c>
      <c r="F52" s="5" t="s">
        <v>107</v>
      </c>
      <c r="G52" t="s">
        <v>22</v>
      </c>
      <c r="H52">
        <v>1572</v>
      </c>
      <c r="I52">
        <f>H52</f>
        <v>1572</v>
      </c>
      <c r="J52" s="6">
        <v>2.89</v>
      </c>
      <c r="K52" s="3">
        <f>(H52+I52)*J52</f>
        <v>9086.16</v>
      </c>
      <c r="L52">
        <v>1.3423499999999999</v>
      </c>
      <c r="M52" s="4">
        <f>L52*H52</f>
        <v>2110.1741999999999</v>
      </c>
      <c r="N52" s="4">
        <f>L52*I52</f>
        <v>2110.1741999999999</v>
      </c>
      <c r="O52" s="7">
        <v>73066100</v>
      </c>
    </row>
    <row r="53" spans="1:15" x14ac:dyDescent="0.35">
      <c r="A53">
        <v>17</v>
      </c>
      <c r="B53" t="s">
        <v>108</v>
      </c>
      <c r="C53" t="s">
        <v>74</v>
      </c>
      <c r="D53" t="s">
        <v>104</v>
      </c>
      <c r="E53">
        <v>304</v>
      </c>
      <c r="F53" s="5" t="s">
        <v>109</v>
      </c>
      <c r="G53" t="s">
        <v>22</v>
      </c>
      <c r="H53">
        <v>3204</v>
      </c>
      <c r="I53">
        <f>H53</f>
        <v>3204</v>
      </c>
      <c r="J53" s="6">
        <v>3.9</v>
      </c>
      <c r="K53" s="3">
        <f>(H53+I53)*J53</f>
        <v>24991.200000000001</v>
      </c>
      <c r="L53">
        <v>1.8133499999999998</v>
      </c>
      <c r="M53" s="4">
        <f>L53*H53</f>
        <v>5809.9733999999989</v>
      </c>
      <c r="N53" s="4">
        <f>L53*I53</f>
        <v>5809.9733999999989</v>
      </c>
      <c r="O53" s="7">
        <v>73066100</v>
      </c>
    </row>
    <row r="54" spans="1:15" x14ac:dyDescent="0.35">
      <c r="A54">
        <v>18</v>
      </c>
      <c r="B54" t="s">
        <v>110</v>
      </c>
      <c r="C54" t="s">
        <v>74</v>
      </c>
      <c r="D54" t="s">
        <v>104</v>
      </c>
      <c r="E54">
        <v>304</v>
      </c>
      <c r="F54" s="5" t="s">
        <v>111</v>
      </c>
      <c r="G54" t="s">
        <v>22</v>
      </c>
      <c r="H54">
        <v>1572</v>
      </c>
      <c r="I54">
        <f>H54</f>
        <v>1572</v>
      </c>
      <c r="J54" s="6">
        <v>4.9000000000000004</v>
      </c>
      <c r="K54" s="3">
        <f>(H54+I54)*J54</f>
        <v>15405.6</v>
      </c>
      <c r="L54">
        <v>2.2843499999999999</v>
      </c>
      <c r="M54" s="4">
        <f>L54*H54</f>
        <v>3590.9982</v>
      </c>
      <c r="N54" s="4">
        <f>L54*I54</f>
        <v>3590.9982</v>
      </c>
      <c r="O54" s="7">
        <v>73066100</v>
      </c>
    </row>
    <row r="55" spans="1:15" x14ac:dyDescent="0.35">
      <c r="A55">
        <v>19</v>
      </c>
      <c r="B55" t="s">
        <v>112</v>
      </c>
      <c r="C55" t="s">
        <v>74</v>
      </c>
      <c r="D55" t="s">
        <v>113</v>
      </c>
      <c r="E55">
        <v>304</v>
      </c>
      <c r="F55" s="5" t="s">
        <v>114</v>
      </c>
      <c r="G55" t="s">
        <v>22</v>
      </c>
      <c r="H55">
        <v>300</v>
      </c>
      <c r="I55">
        <f>H55</f>
        <v>300</v>
      </c>
      <c r="J55" s="6">
        <v>5.15</v>
      </c>
      <c r="K55" s="3">
        <f>(H55+I55)*J55</f>
        <v>3090</v>
      </c>
      <c r="L55">
        <v>2.3863999999999996</v>
      </c>
      <c r="M55" s="4">
        <f>L55*H55</f>
        <v>715.91999999999985</v>
      </c>
      <c r="N55" s="4">
        <f>L55*I55</f>
        <v>715.91999999999985</v>
      </c>
      <c r="O55" s="7">
        <v>73066100</v>
      </c>
    </row>
    <row r="56" spans="1:15" x14ac:dyDescent="0.35">
      <c r="A56">
        <v>20</v>
      </c>
      <c r="B56" t="s">
        <v>115</v>
      </c>
      <c r="C56" t="s">
        <v>74</v>
      </c>
      <c r="D56" t="s">
        <v>116</v>
      </c>
      <c r="E56">
        <v>304</v>
      </c>
      <c r="F56" s="5" t="s">
        <v>117</v>
      </c>
      <c r="G56" t="s">
        <v>22</v>
      </c>
      <c r="H56">
        <v>300</v>
      </c>
      <c r="I56">
        <f>H56</f>
        <v>300</v>
      </c>
      <c r="J56" s="6">
        <v>1.4938</v>
      </c>
      <c r="K56" s="3">
        <f>(H56+I56)*J56</f>
        <v>896.28</v>
      </c>
      <c r="L56">
        <v>0.70840000000000003</v>
      </c>
      <c r="M56" s="4">
        <f>L56*H56</f>
        <v>212.52</v>
      </c>
      <c r="N56" s="4">
        <f>L56*I56</f>
        <v>212.52</v>
      </c>
      <c r="O56" s="7">
        <v>73066100</v>
      </c>
    </row>
    <row r="57" spans="1:15" x14ac:dyDescent="0.35">
      <c r="A57">
        <v>21</v>
      </c>
      <c r="B57" t="s">
        <v>118</v>
      </c>
      <c r="C57" t="s">
        <v>74</v>
      </c>
      <c r="D57" t="s">
        <v>116</v>
      </c>
      <c r="E57">
        <v>304</v>
      </c>
      <c r="F57" s="5" t="s">
        <v>119</v>
      </c>
      <c r="G57" t="s">
        <v>22</v>
      </c>
      <c r="H57">
        <v>300</v>
      </c>
      <c r="I57">
        <f>H57</f>
        <v>300</v>
      </c>
      <c r="J57" s="6">
        <v>2.2795000000000001</v>
      </c>
      <c r="K57" s="3">
        <f>(H57+I57)*J57</f>
        <v>1367.7</v>
      </c>
      <c r="L57">
        <v>1.0851999999999999</v>
      </c>
      <c r="M57" s="4">
        <f>L57*H57</f>
        <v>325.56</v>
      </c>
      <c r="N57" s="4">
        <f>L57*I57</f>
        <v>325.56</v>
      </c>
      <c r="O57" s="7">
        <v>73066100</v>
      </c>
    </row>
    <row r="58" spans="1:15" x14ac:dyDescent="0.35">
      <c r="A58">
        <v>22</v>
      </c>
      <c r="B58" t="s">
        <v>120</v>
      </c>
      <c r="C58" t="s">
        <v>74</v>
      </c>
      <c r="D58" t="s">
        <v>116</v>
      </c>
      <c r="E58">
        <v>304</v>
      </c>
      <c r="F58" s="5" t="s">
        <v>121</v>
      </c>
      <c r="G58" t="s">
        <v>22</v>
      </c>
      <c r="H58">
        <v>300</v>
      </c>
      <c r="I58">
        <f>H58</f>
        <v>300</v>
      </c>
      <c r="J58" s="6">
        <v>3.0457999999999998</v>
      </c>
      <c r="K58" s="3">
        <f>(H58+I58)*J58</f>
        <v>1827.48</v>
      </c>
      <c r="L58">
        <v>1.462</v>
      </c>
      <c r="M58" s="4">
        <f>L58*H58</f>
        <v>438.59999999999997</v>
      </c>
      <c r="N58" s="4">
        <f>L58*I58</f>
        <v>438.59999999999997</v>
      </c>
      <c r="O58" s="7">
        <v>73066100</v>
      </c>
    </row>
    <row r="59" spans="1:15" x14ac:dyDescent="0.35">
      <c r="A59">
        <v>23</v>
      </c>
      <c r="B59" t="s">
        <v>122</v>
      </c>
      <c r="C59" t="s">
        <v>74</v>
      </c>
      <c r="D59" t="s">
        <v>116</v>
      </c>
      <c r="E59">
        <v>304</v>
      </c>
      <c r="F59" s="5" t="s">
        <v>123</v>
      </c>
      <c r="G59" t="s">
        <v>22</v>
      </c>
      <c r="H59">
        <v>210</v>
      </c>
      <c r="I59">
        <f>H59</f>
        <v>210</v>
      </c>
      <c r="J59" s="6">
        <v>3.8315000000000001</v>
      </c>
      <c r="K59" s="3">
        <f>(H59+I59)*J59</f>
        <v>1609.23</v>
      </c>
      <c r="L59">
        <v>1.8388</v>
      </c>
      <c r="M59" s="4">
        <f>L59*H59</f>
        <v>386.14800000000002</v>
      </c>
      <c r="N59" s="4">
        <f>L59*I59</f>
        <v>386.14800000000002</v>
      </c>
      <c r="O59" s="7">
        <v>73066100</v>
      </c>
    </row>
    <row r="60" spans="1:15" x14ac:dyDescent="0.35">
      <c r="A60">
        <v>24</v>
      </c>
      <c r="B60" t="s">
        <v>124</v>
      </c>
      <c r="C60" t="s">
        <v>74</v>
      </c>
      <c r="D60" t="s">
        <v>116</v>
      </c>
      <c r="E60">
        <v>304</v>
      </c>
      <c r="F60" s="5" t="s">
        <v>125</v>
      </c>
      <c r="G60" t="s">
        <v>22</v>
      </c>
      <c r="H60">
        <v>210</v>
      </c>
      <c r="I60">
        <f>H60</f>
        <v>210</v>
      </c>
      <c r="J60" s="6">
        <v>12.813700000000001</v>
      </c>
      <c r="K60" s="3">
        <f>(H60+I60)*J60</f>
        <v>5381.7539999999999</v>
      </c>
      <c r="L60">
        <v>6.1539999999999999</v>
      </c>
      <c r="M60" s="4">
        <f>L60*H60</f>
        <v>1292.3399999999999</v>
      </c>
      <c r="N60" s="4">
        <f>L60*I60</f>
        <v>1292.3399999999999</v>
      </c>
      <c r="O60" s="7">
        <v>73066100</v>
      </c>
    </row>
    <row r="61" spans="1:15" x14ac:dyDescent="0.35">
      <c r="A61">
        <v>25</v>
      </c>
      <c r="B61" t="s">
        <v>126</v>
      </c>
      <c r="C61" t="s">
        <v>74</v>
      </c>
      <c r="D61" t="s">
        <v>127</v>
      </c>
      <c r="E61">
        <v>304</v>
      </c>
      <c r="F61" s="5" t="s">
        <v>128</v>
      </c>
      <c r="G61" t="s">
        <v>22</v>
      </c>
      <c r="H61">
        <v>360</v>
      </c>
      <c r="I61">
        <f>H61</f>
        <v>360</v>
      </c>
      <c r="J61" s="6">
        <v>5.7520999999999995</v>
      </c>
      <c r="K61" s="3">
        <f>(H61+I61)*J61</f>
        <v>4141.5119999999997</v>
      </c>
      <c r="L61">
        <v>2.7553999999999998</v>
      </c>
      <c r="M61" s="4">
        <f>L61*H61</f>
        <v>991.94399999999996</v>
      </c>
      <c r="N61" s="4">
        <f>L61*I61</f>
        <v>991.94399999999996</v>
      </c>
      <c r="O61" s="7">
        <v>73066100</v>
      </c>
    </row>
    <row r="62" spans="1:15" x14ac:dyDescent="0.35">
      <c r="A62">
        <v>26</v>
      </c>
      <c r="B62" t="s">
        <v>129</v>
      </c>
      <c r="C62" t="s">
        <v>74</v>
      </c>
      <c r="D62" t="s">
        <v>130</v>
      </c>
      <c r="E62">
        <v>304</v>
      </c>
      <c r="F62" s="5" t="s">
        <v>131</v>
      </c>
      <c r="G62" t="s">
        <v>22</v>
      </c>
      <c r="H62">
        <v>300</v>
      </c>
      <c r="I62">
        <f>H62</f>
        <v>300</v>
      </c>
      <c r="J62" s="6">
        <v>6.3146999999999993</v>
      </c>
      <c r="K62" s="3">
        <f>(H62+I62)*J62</f>
        <v>3788.8199999999997</v>
      </c>
      <c r="L62">
        <v>3.0144000000000002</v>
      </c>
      <c r="M62" s="4">
        <f>L62*H62</f>
        <v>904.32</v>
      </c>
      <c r="N62" s="4">
        <f>L62*I62</f>
        <v>904.32</v>
      </c>
      <c r="O62" s="7">
        <v>73066100</v>
      </c>
    </row>
    <row r="63" spans="1:15" x14ac:dyDescent="0.35">
      <c r="A63">
        <v>27</v>
      </c>
      <c r="B63" t="s">
        <v>132</v>
      </c>
      <c r="C63" t="s">
        <v>74</v>
      </c>
      <c r="D63" t="s">
        <v>133</v>
      </c>
      <c r="E63">
        <v>304</v>
      </c>
      <c r="F63" s="5" t="s">
        <v>134</v>
      </c>
      <c r="G63" t="s">
        <v>22</v>
      </c>
      <c r="H63">
        <v>360</v>
      </c>
      <c r="I63">
        <f>H63</f>
        <v>360</v>
      </c>
      <c r="J63" s="6">
        <v>7.6144999999999996</v>
      </c>
      <c r="K63" s="3">
        <f>(H63+I63)*J63</f>
        <v>5482.44</v>
      </c>
      <c r="L63">
        <v>3.6423999999999999</v>
      </c>
      <c r="M63" s="4">
        <f>L63*H63</f>
        <v>1311.2639999999999</v>
      </c>
      <c r="N63" s="4">
        <f>L63*I63</f>
        <v>1311.2639999999999</v>
      </c>
      <c r="O63" s="7">
        <v>73066100</v>
      </c>
    </row>
    <row r="64" spans="1:15" x14ac:dyDescent="0.35">
      <c r="A64">
        <v>28</v>
      </c>
      <c r="B64" t="s">
        <v>135</v>
      </c>
      <c r="C64" t="s">
        <v>74</v>
      </c>
      <c r="D64" t="s">
        <v>136</v>
      </c>
      <c r="E64">
        <v>304</v>
      </c>
      <c r="F64" s="5" t="s">
        <v>137</v>
      </c>
      <c r="G64" t="s">
        <v>22</v>
      </c>
      <c r="H64">
        <v>300</v>
      </c>
      <c r="I64">
        <f>H64</f>
        <v>300</v>
      </c>
      <c r="J64" s="6">
        <v>10.2044</v>
      </c>
      <c r="K64" s="3">
        <f>(H64+I64)*J64</f>
        <v>6122.6399999999994</v>
      </c>
      <c r="L64">
        <v>4.8983999999999996</v>
      </c>
      <c r="M64" s="4">
        <f>L64*H64</f>
        <v>1469.52</v>
      </c>
      <c r="N64" s="4">
        <f>L64*I64</f>
        <v>1469.52</v>
      </c>
      <c r="O64" s="7">
        <v>73066100</v>
      </c>
    </row>
    <row r="65" spans="11:14" x14ac:dyDescent="0.35">
      <c r="K65" s="3">
        <v>115251.83399999999</v>
      </c>
      <c r="L65" s="3"/>
      <c r="M65" s="4">
        <f>SUM(M37:M64)</f>
        <v>27909.035699999997</v>
      </c>
      <c r="N65" s="4">
        <f>SUM(N37:N64)</f>
        <v>27909.035699999997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Q2026-03 pedido Maysky Lynn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Plasnox</dc:creator>
  <cp:lastModifiedBy>Marcos Plasnox</cp:lastModifiedBy>
  <dcterms:created xsi:type="dcterms:W3CDTF">2026-06-03T01:10:09Z</dcterms:created>
  <dcterms:modified xsi:type="dcterms:W3CDTF">2026-06-03T01:10:40Z</dcterms:modified>
</cp:coreProperties>
</file>
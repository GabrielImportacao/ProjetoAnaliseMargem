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4d0d06c6283d25/OPERACÃO/PEDIDOS FECHADOS/SIDINEI/PLASNOX/NGC325 TUBO INOX INDIA/"/>
    </mc:Choice>
  </mc:AlternateContent>
  <xr:revisionPtr revIDLastSave="3" documentId="8_{16C2D58B-0999-42E9-8BB0-4E59E1D5C233}" xr6:coauthVersionLast="47" xr6:coauthVersionMax="47" xr10:uidLastSave="{28E5C74F-5730-4D6A-B073-29518DB0B10B}"/>
  <bookViews>
    <workbookView xWindow="-120" yWindow="-120" windowWidth="20730" windowHeight="110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2" l="1"/>
  <c r="I47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8" i="2"/>
  <c r="I49" i="2"/>
  <c r="I50" i="2"/>
  <c r="I51" i="2"/>
  <c r="I52" i="2"/>
  <c r="I53" i="2"/>
  <c r="I56" i="2"/>
  <c r="I57" i="2"/>
  <c r="I58" i="2"/>
  <c r="I59" i="2"/>
  <c r="I60" i="2"/>
  <c r="I61" i="2"/>
  <c r="I62" i="2"/>
  <c r="I63" i="2"/>
  <c r="I64" i="2"/>
  <c r="I67" i="2" l="1"/>
</calcChain>
</file>

<file path=xl/sharedStrings.xml><?xml version="1.0" encoding="utf-8"?>
<sst xmlns="http://schemas.openxmlformats.org/spreadsheetml/2006/main" count="90" uniqueCount="80">
  <si>
    <t>Invoice No.  &amp; Date:</t>
  </si>
  <si>
    <t>IEC CODE</t>
  </si>
  <si>
    <t>AAOFN6213E</t>
  </si>
  <si>
    <t>Buyer's Order No. &amp; Date:</t>
  </si>
  <si>
    <t>NASCENT PIPE &amp; TUBES</t>
  </si>
  <si>
    <t>Gut No. 214/3, Village Kondhale, Talathi - Saja,</t>
  </si>
  <si>
    <t>Kudus, Tal - Wada, Dist - Palghar - 421312.</t>
  </si>
  <si>
    <t>Maharashtra.</t>
  </si>
  <si>
    <t>India.</t>
  </si>
  <si>
    <r>
      <rPr>
        <b/>
        <u/>
        <sz val="10"/>
        <rFont val="Calibri"/>
        <family val="2"/>
        <scheme val="minor"/>
      </rPr>
      <t>Container No</t>
    </r>
    <r>
      <rPr>
        <b/>
        <sz val="10"/>
        <rFont val="Calibri"/>
        <family val="2"/>
        <scheme val="minor"/>
      </rPr>
      <t>.</t>
    </r>
  </si>
  <si>
    <r>
      <rPr>
        <b/>
        <u/>
        <sz val="10"/>
        <rFont val="Calibri"/>
        <family val="2"/>
        <scheme val="minor"/>
      </rPr>
      <t>Vessel / Flight No</t>
    </r>
    <r>
      <rPr>
        <b/>
        <sz val="10"/>
        <rFont val="Calibri"/>
        <family val="2"/>
        <scheme val="minor"/>
      </rPr>
      <t>.</t>
    </r>
  </si>
  <si>
    <r>
      <rPr>
        <b/>
        <u/>
        <sz val="10"/>
        <rFont val="Calibri"/>
        <family val="2"/>
        <scheme val="minor"/>
      </rPr>
      <t>Port of Loading</t>
    </r>
  </si>
  <si>
    <r>
      <rPr>
        <b/>
        <u/>
        <sz val="10"/>
        <rFont val="Calibri"/>
        <family val="2"/>
        <scheme val="minor"/>
      </rPr>
      <t>Payment Terms:</t>
    </r>
  </si>
  <si>
    <r>
      <rPr>
        <b/>
        <u/>
        <sz val="10"/>
        <rFont val="Calibri"/>
        <family val="2"/>
        <scheme val="minor"/>
      </rPr>
      <t>Port of Discharge</t>
    </r>
  </si>
  <si>
    <r>
      <rPr>
        <b/>
        <u/>
        <sz val="10"/>
        <rFont val="Calibri"/>
        <family val="2"/>
        <scheme val="minor"/>
      </rPr>
      <t>Final Destination</t>
    </r>
  </si>
  <si>
    <r>
      <rPr>
        <b/>
        <u/>
        <sz val="10"/>
        <rFont val="Calibri"/>
        <family val="2"/>
        <scheme val="minor"/>
      </rPr>
      <t>Other Reference(s)</t>
    </r>
  </si>
  <si>
    <t>INDIA</t>
  </si>
  <si>
    <t>Description of Goods</t>
  </si>
  <si>
    <t>Sr. No.</t>
  </si>
  <si>
    <t>Quantity</t>
  </si>
  <si>
    <t xml:space="preserve">Rate </t>
  </si>
  <si>
    <t xml:space="preserve">Total </t>
  </si>
  <si>
    <t>TOTAL</t>
  </si>
  <si>
    <t>NAME : NASCENT PIPE &amp; TUBES</t>
  </si>
  <si>
    <t>BANK : SARASWAT CO-OP BANK LTD.</t>
  </si>
  <si>
    <t>A/C NO. : 270500100000338</t>
  </si>
  <si>
    <t>SWIFT CODE : SRCBINBBGHT</t>
  </si>
  <si>
    <t>PROFORMA INVOICE</t>
  </si>
  <si>
    <t>Brazil</t>
  </si>
  <si>
    <t>FOB</t>
  </si>
  <si>
    <t>TOTAL QUANTITY :</t>
  </si>
  <si>
    <r>
      <rPr>
        <b/>
        <u/>
        <sz val="11"/>
        <rFont val="Calibri"/>
        <family val="2"/>
        <scheme val="minor"/>
      </rPr>
      <t>BANK DETAILS:</t>
    </r>
  </si>
  <si>
    <r>
      <rPr>
        <b/>
        <u/>
        <sz val="12"/>
        <rFont val="Calibri"/>
        <family val="2"/>
        <scheme val="minor"/>
      </rPr>
      <t>EXPORTER:</t>
    </r>
  </si>
  <si>
    <r>
      <rPr>
        <b/>
        <u/>
        <sz val="12"/>
        <rFont val="Calibri"/>
        <family val="2"/>
        <scheme val="minor"/>
      </rPr>
      <t>CONSIGNEE:</t>
    </r>
  </si>
  <si>
    <r>
      <rPr>
        <b/>
        <u/>
        <sz val="10"/>
        <rFont val="Calibri"/>
        <family val="2"/>
        <scheme val="minor"/>
      </rPr>
      <t>Country of Origin of Go</t>
    </r>
  </si>
  <si>
    <r>
      <rPr>
        <b/>
        <u/>
        <sz val="10"/>
        <rFont val="Calibri"/>
        <family val="2"/>
        <scheme val="minor"/>
      </rPr>
      <t>Country of Final Destination</t>
    </r>
  </si>
  <si>
    <r>
      <rPr>
        <b/>
        <u/>
        <sz val="10"/>
        <rFont val="Calibri"/>
        <family val="2"/>
        <scheme val="minor"/>
      </rPr>
      <t>Terms of Delivery &amp; payment:</t>
    </r>
  </si>
  <si>
    <r>
      <rPr>
        <b/>
        <u/>
        <sz val="10"/>
        <rFont val="Calibri"/>
        <family val="2"/>
        <scheme val="minor"/>
      </rPr>
      <t>Buyer ( if other than consignee )</t>
    </r>
  </si>
  <si>
    <r>
      <rPr>
        <b/>
        <u/>
        <sz val="10"/>
        <rFont val="Calibri"/>
        <family val="2"/>
        <scheme val="minor"/>
      </rPr>
      <t>SHIP TO:</t>
    </r>
  </si>
  <si>
    <r>
      <rPr>
        <b/>
        <sz val="11"/>
        <rFont val="Arial"/>
        <family val="2"/>
      </rPr>
      <t>Exporter Ref.</t>
    </r>
  </si>
  <si>
    <t>Same as Consignee</t>
  </si>
  <si>
    <t>NPT/EXP-005</t>
  </si>
  <si>
    <t>15.01.2026</t>
  </si>
  <si>
    <t>Contact: +91 7021318129</t>
  </si>
  <si>
    <t>Attn: Mr. Krish Shah</t>
  </si>
  <si>
    <t>India</t>
  </si>
  <si>
    <t>STAINLESS STEEL ASTM A312 GRADE 304 PIPES</t>
  </si>
  <si>
    <t xml:space="preserve">1/2"NB X SCH010 (OD21.3mm - WT2.11mm) X 6 Mtr </t>
  </si>
  <si>
    <t>3/4" NB X SCH010 (OD26.7mm - WT2.11mm) X 6 Mtr</t>
  </si>
  <si>
    <t>1" NB X SCH010 (OD33.4mm - WT2.77mm) X 6 Mtr</t>
  </si>
  <si>
    <t>1 1/4" NB X SCH010 (OD42.2mm - WT2.77mm) X 6 Mtr</t>
  </si>
  <si>
    <t>1 1/2" NB X SCH010 (OD48.3mm - WT2.77mm) X 6 Mtr</t>
  </si>
  <si>
    <t>2" NB X SCH010 (OD60.3mm - WT2.77mm) X 6 Mtr</t>
  </si>
  <si>
    <t>2 1/2" NB X SCH010 (OD73.0mm - WT3.05mm) X 6 Mtr</t>
  </si>
  <si>
    <t>3"NB X SCH010 (OD88.9mm - WT3.05mm) X 6 Mtr</t>
  </si>
  <si>
    <t>4" NB X SCH010 (OD114.3mm - WT3.05mm) X 6 Mtr</t>
  </si>
  <si>
    <t>5" NB X SCH010 (OD141.3mm - WT3.40mm) X 6 Mtr</t>
  </si>
  <si>
    <t>6" NB X SCH010 (OD168.3mm - WT3.40mm) X 6Mtr</t>
  </si>
  <si>
    <t>8" NB X SCH010 (OD219.1mm - WT3.76mm) X 6 Mtr</t>
  </si>
  <si>
    <t xml:space="preserve">1/2"NB X SCH040 (OD21.3mm - WT2.11mm) X 6 Mtr </t>
  </si>
  <si>
    <t>3/4" NB X SCH040 (OD26.7mm - WT2.11mm) X 6 Mtr</t>
  </si>
  <si>
    <t>1" NB X SCH040 (OD33.4mm - WT2.77mm) X 6 Mtr</t>
  </si>
  <si>
    <t>1 1/4" NB X SCH040 (OD42.2mm - WT2.77mm) X 6 Mtr</t>
  </si>
  <si>
    <t>1 1/2" NB X SCH040 (OD48.3mm - WT2.77mm) X 6 Mtr</t>
  </si>
  <si>
    <t>2" NB X SCH040 (OD60.3mm - WT2.77mm) X 6 Mtr</t>
  </si>
  <si>
    <t>2 1/2" NB X SCH040 (OD73.0mm - WT3.05mm) X 6 Mtr</t>
  </si>
  <si>
    <t>3"NB X SCH040 (OD88.9mm - WT3.05mm) X 6 Mtr</t>
  </si>
  <si>
    <t>4" NB X SCH040 (OD114.3mm - WT3.05mm) X 6 Mtr</t>
  </si>
  <si>
    <t>12642 MTRS</t>
  </si>
  <si>
    <r>
      <rPr>
        <b/>
        <u/>
        <sz val="10"/>
        <rFont val="Calibri"/>
        <family val="2"/>
        <scheme val="minor"/>
      </rPr>
      <t>Declaration:</t>
    </r>
  </si>
  <si>
    <r>
      <rPr>
        <b/>
        <u/>
        <sz val="10"/>
        <rFont val="Calibri"/>
        <family val="2"/>
        <scheme val="minor"/>
      </rPr>
      <t>We declaration that invoice shows the actual price of goods</t>
    </r>
  </si>
  <si>
    <r>
      <rPr>
        <b/>
        <u/>
        <sz val="10"/>
        <rFont val="Calibri"/>
        <family val="2"/>
        <scheme val="minor"/>
      </rPr>
      <t>described and that all particulars are true &amp; correct</t>
    </r>
    <r>
      <rPr>
        <b/>
        <sz val="10"/>
        <rFont val="Calibri"/>
        <family val="2"/>
        <scheme val="minor"/>
      </rPr>
      <t xml:space="preserve"> .</t>
    </r>
  </si>
  <si>
    <t>PLASNOX IND. E COM. DE IMPORTACOES LTDA</t>
  </si>
  <si>
    <t>Rua Benifacio Haendchen, 755-Belchior Central,</t>
  </si>
  <si>
    <t>Gaspar - SC , 98110-975 - BRAZIL</t>
  </si>
  <si>
    <t>79.925.442/0001-07- Inscricao estadual : 251.465.888</t>
  </si>
  <si>
    <t>contact : +5547 33316700</t>
  </si>
  <si>
    <t>Signature / Date </t>
  </si>
  <si>
    <t>30 % Advance &amp; Balance before shipment</t>
  </si>
  <si>
    <t>STAINLESS STEEL ASTM A312 GRADE 316L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</si>
</sst>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dd\.mm\.yyyy"/>
    <numFmt numFmtId="166" formatCode="[$USD]\ #,##0.00"/>
  </numFmts>
  <fonts count="21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i/>
      <sz val="8.5"/>
      <name val="Arial"/>
    </font>
    <font>
      <b/>
      <i/>
      <sz val="8.5"/>
      <name val="Arial"/>
      <family val="2"/>
    </font>
    <font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8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u/>
      <sz val="12"/>
      <name val="Calibri"/>
      <family val="2"/>
      <scheme val="minor"/>
    </font>
    <font>
      <sz val="11"/>
      <color rgb="FF000000"/>
      <name val="Times New Roman"/>
      <family val="1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48">
    <xf numFmtId="0" fontId="0" fillId="0" borderId="0" xfId="0" applyAlignment="1">
      <alignment horizontal="left" vertical="top"/>
    </xf>
    <xf numFmtId="0" fontId="6" fillId="0" borderId="1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164" fontId="7" fillId="0" borderId="19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164" fontId="7" fillId="0" borderId="21" xfId="0" applyNumberFormat="1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/>
    </xf>
    <xf numFmtId="164" fontId="7" fillId="0" borderId="51" xfId="0" applyNumberFormat="1" applyFont="1" applyBorder="1" applyAlignment="1">
      <alignment horizontal="center" vertical="center"/>
    </xf>
    <xf numFmtId="164" fontId="7" fillId="0" borderId="52" xfId="0" applyNumberFormat="1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164" fontId="7" fillId="0" borderId="56" xfId="0" applyNumberFormat="1" applyFont="1" applyBorder="1" applyAlignment="1">
      <alignment horizontal="center" vertical="center"/>
    </xf>
    <xf numFmtId="164" fontId="10" fillId="0" borderId="57" xfId="0" applyNumberFormat="1" applyFont="1" applyBorder="1" applyAlignment="1">
      <alignment horizontal="center" vertical="center" wrapText="1"/>
    </xf>
    <xf numFmtId="166" fontId="7" fillId="2" borderId="19" xfId="0" applyNumberFormat="1" applyFont="1" applyFill="1" applyBorder="1" applyAlignment="1">
      <alignment horizontal="center" vertical="center"/>
    </xf>
    <xf numFmtId="0" fontId="10" fillId="2" borderId="56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165" fontId="7" fillId="0" borderId="1" xfId="0" applyNumberFormat="1" applyFont="1" applyBorder="1" applyAlignment="1">
      <alignment horizontal="center" vertical="center" shrinkToFit="1"/>
    </xf>
    <xf numFmtId="0" fontId="8" fillId="0" borderId="18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65" fontId="7" fillId="0" borderId="2" xfId="0" applyNumberFormat="1" applyFont="1" applyBorder="1" applyAlignment="1">
      <alignment horizontal="center" vertical="top" shrinkToFit="1"/>
    </xf>
    <xf numFmtId="165" fontId="7" fillId="0" borderId="3" xfId="0" applyNumberFormat="1" applyFont="1" applyBorder="1" applyAlignment="1">
      <alignment horizontal="center" vertical="top" shrinkToFit="1"/>
    </xf>
    <xf numFmtId="165" fontId="7" fillId="0" borderId="12" xfId="0" applyNumberFormat="1" applyFont="1" applyBorder="1" applyAlignment="1">
      <alignment horizontal="center" vertical="top" shrinkToFit="1"/>
    </xf>
    <xf numFmtId="0" fontId="8" fillId="0" borderId="2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7" fillId="0" borderId="1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0" fillId="0" borderId="40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42" xfId="0" applyBorder="1" applyAlignment="1">
      <alignment horizontal="center" vertical="top"/>
    </xf>
    <xf numFmtId="0" fontId="0" fillId="0" borderId="4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44" xfId="0" applyBorder="1" applyAlignment="1">
      <alignment horizontal="center" vertical="top"/>
    </xf>
    <xf numFmtId="0" fontId="0" fillId="0" borderId="45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0" fontId="0" fillId="0" borderId="46" xfId="0" applyBorder="1" applyAlignment="1">
      <alignment horizontal="center" vertical="top"/>
    </xf>
    <xf numFmtId="0" fontId="11" fillId="0" borderId="27" xfId="0" applyFont="1" applyBorder="1" applyAlignment="1">
      <alignment horizontal="left" vertical="top" wrapText="1" indent="2"/>
    </xf>
    <xf numFmtId="0" fontId="11" fillId="0" borderId="28" xfId="0" applyFont="1" applyBorder="1" applyAlignment="1">
      <alignment horizontal="left" vertical="top" wrapText="1" indent="2"/>
    </xf>
    <xf numFmtId="0" fontId="11" fillId="0" borderId="29" xfId="0" applyFont="1" applyBorder="1" applyAlignment="1">
      <alignment horizontal="left" vertical="top" wrapText="1" indent="2"/>
    </xf>
    <xf numFmtId="0" fontId="11" fillId="0" borderId="20" xfId="0" applyFont="1" applyBorder="1" applyAlignment="1">
      <alignment horizontal="left" vertical="top" wrapText="1" indent="2"/>
    </xf>
    <xf numFmtId="0" fontId="11" fillId="0" borderId="19" xfId="0" applyFont="1" applyBorder="1" applyAlignment="1">
      <alignment horizontal="left" vertical="top" wrapText="1" indent="2"/>
    </xf>
    <xf numFmtId="0" fontId="11" fillId="0" borderId="21" xfId="0" applyFont="1" applyBorder="1" applyAlignment="1">
      <alignment horizontal="left" vertical="top" wrapText="1" indent="2"/>
    </xf>
    <xf numFmtId="0" fontId="11" fillId="0" borderId="22" xfId="0" applyFont="1" applyBorder="1" applyAlignment="1">
      <alignment horizontal="left" vertical="top" wrapText="1" indent="2"/>
    </xf>
    <xf numFmtId="0" fontId="11" fillId="0" borderId="23" xfId="0" applyFont="1" applyBorder="1" applyAlignment="1">
      <alignment horizontal="left" vertical="top" wrapText="1" indent="2"/>
    </xf>
    <xf numFmtId="0" fontId="11" fillId="0" borderId="24" xfId="0" applyFont="1" applyBorder="1" applyAlignment="1">
      <alignment horizontal="left" vertical="top" wrapText="1" indent="2"/>
    </xf>
    <xf numFmtId="0" fontId="6" fillId="0" borderId="2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left" vertical="top" wrapText="1"/>
    </xf>
    <xf numFmtId="0" fontId="12" fillId="0" borderId="19" xfId="0" applyFont="1" applyBorder="1" applyAlignment="1">
      <alignment horizontal="left" vertical="top" wrapText="1"/>
    </xf>
    <xf numFmtId="0" fontId="0" fillId="0" borderId="19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6" fillId="0" borderId="35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13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20" fillId="0" borderId="25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 indent="25"/>
    </xf>
    <xf numFmtId="0" fontId="5" fillId="0" borderId="6" xfId="0" applyFont="1" applyBorder="1" applyAlignment="1">
      <alignment horizontal="left" vertical="top" wrapText="1" indent="25"/>
    </xf>
    <xf numFmtId="0" fontId="5" fillId="0" borderId="15" xfId="0" applyFont="1" applyBorder="1" applyAlignment="1">
      <alignment horizontal="left" vertical="top" wrapText="1" indent="25"/>
    </xf>
    <xf numFmtId="0" fontId="7" fillId="0" borderId="11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</cellXfs>
  <cellStyles count="2">
    <cellStyle name="Normal" xfId="0" builtinId="0"/>
    <cellStyle name="Normal 5" xfId="1" xr:uid="{483876B8-E1A3-4350-AF65-6F7A2B55137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40020</xdr:rowOff>
    </xdr:from>
    <xdr:ext cx="6795567" cy="964773"/>
    <xdr:pic>
      <xdr:nvPicPr>
        <xdr:cNvPr id="2" name="image2.png">
          <a:extLst>
            <a:ext uri="{FF2B5EF4-FFF2-40B4-BE49-F238E27FC236}">
              <a16:creationId xmlns:a16="http://schemas.microsoft.com/office/drawing/2014/main" id="{26D9AEFE-0691-467F-8B3F-D94EAAB73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020"/>
          <a:ext cx="6795567" cy="964773"/>
        </a:xfrm>
        <a:prstGeom prst="rect">
          <a:avLst/>
        </a:prstGeom>
      </xdr:spPr>
    </xdr:pic>
    <xdr:clientData/>
  </xdr:oneCellAnchor>
  <xdr:twoCellAnchor editAs="oneCell">
    <xdr:from>
      <xdr:col>7</xdr:col>
      <xdr:colOff>329571</xdr:colOff>
      <xdr:row>71</xdr:row>
      <xdr:rowOff>111046</xdr:rowOff>
    </xdr:from>
    <xdr:to>
      <xdr:col>8</xdr:col>
      <xdr:colOff>2273</xdr:colOff>
      <xdr:row>75</xdr:row>
      <xdr:rowOff>68998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C1EDC5-70E3-BD2F-E6BF-6D4D640D6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6533051">
          <a:off x="5284942" y="19046616"/>
          <a:ext cx="783986" cy="73109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port@nascentgroup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919E-EE5F-46BD-835B-9424FAEEDE0B}">
  <dimension ref="A1:I76"/>
  <sheetViews>
    <sheetView tabSelected="1" zoomScale="119" zoomScaleNormal="119" zoomScaleSheetLayoutView="119" workbookViewId="0">
      <selection activeCell="A7" sqref="A7:I7"/>
    </sheetView>
  </sheetViews>
  <sheetFormatPr defaultRowHeight="12.75" x14ac:dyDescent="0.2"/>
  <cols>
    <col min="1" max="1" width="6.1640625" customWidth="1"/>
    <col min="4" max="4" width="21.33203125" customWidth="1"/>
    <col min="5" max="5" width="14.33203125" customWidth="1"/>
    <col min="6" max="6" width="14.5" customWidth="1"/>
    <col min="7" max="7" width="12.83203125" customWidth="1"/>
    <col min="8" max="8" width="15.6640625" customWidth="1"/>
    <col min="9" max="9" width="16.6640625" customWidth="1"/>
  </cols>
  <sheetData>
    <row r="1" spans="1:9" x14ac:dyDescent="0.2">
      <c r="A1" s="70"/>
      <c r="B1" s="71"/>
      <c r="C1" s="71"/>
      <c r="D1" s="71"/>
      <c r="E1" s="71"/>
      <c r="F1" s="71"/>
      <c r="G1" s="71"/>
      <c r="H1" s="71"/>
      <c r="I1" s="72"/>
    </row>
    <row r="2" spans="1:9" x14ac:dyDescent="0.2">
      <c r="A2" s="73"/>
      <c r="B2" s="74"/>
      <c r="C2" s="74"/>
      <c r="D2" s="74"/>
      <c r="E2" s="74"/>
      <c r="F2" s="74"/>
      <c r="G2" s="74"/>
      <c r="H2" s="74"/>
      <c r="I2" s="75"/>
    </row>
    <row r="3" spans="1:9" x14ac:dyDescent="0.2">
      <c r="A3" s="73"/>
      <c r="B3" s="74"/>
      <c r="C3" s="74"/>
      <c r="D3" s="74"/>
      <c r="E3" s="74"/>
      <c r="F3" s="74"/>
      <c r="G3" s="74"/>
      <c r="H3" s="74"/>
      <c r="I3" s="75"/>
    </row>
    <row r="4" spans="1:9" x14ac:dyDescent="0.2">
      <c r="A4" s="73"/>
      <c r="B4" s="74"/>
      <c r="C4" s="74"/>
      <c r="D4" s="74"/>
      <c r="E4" s="74"/>
      <c r="F4" s="74"/>
      <c r="G4" s="74"/>
      <c r="H4" s="74"/>
      <c r="I4" s="75"/>
    </row>
    <row r="5" spans="1:9" x14ac:dyDescent="0.2">
      <c r="A5" s="73"/>
      <c r="B5" s="74"/>
      <c r="C5" s="74"/>
      <c r="D5" s="74"/>
      <c r="E5" s="74"/>
      <c r="F5" s="74"/>
      <c r="G5" s="74"/>
      <c r="H5" s="74"/>
      <c r="I5" s="75"/>
    </row>
    <row r="6" spans="1:9" ht="34.15" customHeight="1" thickBot="1" x14ac:dyDescent="0.25">
      <c r="A6" s="76"/>
      <c r="B6" s="77"/>
      <c r="C6" s="77"/>
      <c r="D6" s="77"/>
      <c r="E6" s="77"/>
      <c r="F6" s="77"/>
      <c r="G6" s="77"/>
      <c r="H6" s="77"/>
      <c r="I6" s="78"/>
    </row>
    <row r="7" spans="1:9" ht="36" customHeight="1" thickBot="1" x14ac:dyDescent="0.25">
      <c r="A7" s="30" t="s">
        <v>27</v>
      </c>
      <c r="B7" s="31"/>
      <c r="C7" s="31"/>
      <c r="D7" s="31"/>
      <c r="E7" s="31"/>
      <c r="F7" s="31"/>
      <c r="G7" s="31"/>
      <c r="H7" s="31"/>
      <c r="I7" s="32"/>
    </row>
    <row r="8" spans="1:9" ht="15.75" x14ac:dyDescent="0.2">
      <c r="A8" s="33" t="s">
        <v>32</v>
      </c>
      <c r="B8" s="34"/>
      <c r="C8" s="34"/>
      <c r="D8" s="35"/>
      <c r="E8" s="36" t="s">
        <v>0</v>
      </c>
      <c r="F8" s="37"/>
      <c r="G8" s="38" t="s">
        <v>39</v>
      </c>
      <c r="H8" s="39"/>
      <c r="I8" s="40"/>
    </row>
    <row r="9" spans="1:9" ht="14.45" customHeight="1" x14ac:dyDescent="0.2">
      <c r="A9" s="41" t="s">
        <v>4</v>
      </c>
      <c r="B9" s="42"/>
      <c r="C9" s="42"/>
      <c r="D9" s="43"/>
      <c r="E9" s="118" t="s">
        <v>41</v>
      </c>
      <c r="F9" s="119"/>
      <c r="G9" s="19" t="s">
        <v>42</v>
      </c>
      <c r="H9" s="18" t="s">
        <v>1</v>
      </c>
      <c r="I9" s="20" t="s">
        <v>2</v>
      </c>
    </row>
    <row r="10" spans="1:9" x14ac:dyDescent="0.2">
      <c r="A10" s="21" t="s">
        <v>5</v>
      </c>
      <c r="B10" s="22"/>
      <c r="C10" s="22"/>
      <c r="D10" s="23"/>
      <c r="E10" s="27" t="s">
        <v>3</v>
      </c>
      <c r="F10" s="28"/>
      <c r="G10" s="28"/>
      <c r="H10" s="28"/>
      <c r="I10" s="29"/>
    </row>
    <row r="11" spans="1:9" x14ac:dyDescent="0.2">
      <c r="A11" s="21" t="s">
        <v>6</v>
      </c>
      <c r="B11" s="22"/>
      <c r="C11" s="22"/>
      <c r="D11" s="23"/>
      <c r="E11" s="44"/>
      <c r="F11" s="45"/>
      <c r="G11" s="46"/>
      <c r="H11" s="47"/>
      <c r="I11" s="48"/>
    </row>
    <row r="12" spans="1:9" x14ac:dyDescent="0.2">
      <c r="A12" s="21" t="s">
        <v>7</v>
      </c>
      <c r="B12" s="22"/>
      <c r="C12" s="22"/>
      <c r="D12" s="23"/>
      <c r="E12" s="27" t="s">
        <v>15</v>
      </c>
      <c r="F12" s="28"/>
      <c r="G12" s="28"/>
      <c r="H12" s="28"/>
      <c r="I12" s="29"/>
    </row>
    <row r="13" spans="1:9" x14ac:dyDescent="0.2">
      <c r="A13" s="21" t="s">
        <v>8</v>
      </c>
      <c r="B13" s="22"/>
      <c r="C13" s="22"/>
      <c r="D13" s="23"/>
      <c r="E13" s="24"/>
      <c r="F13" s="25"/>
      <c r="G13" s="25"/>
      <c r="H13" s="25"/>
      <c r="I13" s="26"/>
    </row>
    <row r="14" spans="1:9" x14ac:dyDescent="0.2">
      <c r="A14" s="21" t="s">
        <v>44</v>
      </c>
      <c r="B14" s="22"/>
      <c r="C14" s="22"/>
      <c r="D14" s="23"/>
      <c r="E14" s="27" t="s">
        <v>37</v>
      </c>
      <c r="F14" s="28"/>
      <c r="G14" s="28"/>
      <c r="H14" s="28"/>
      <c r="I14" s="29"/>
    </row>
    <row r="15" spans="1:9" x14ac:dyDescent="0.2">
      <c r="A15" s="21" t="s">
        <v>43</v>
      </c>
      <c r="B15" s="22"/>
      <c r="C15" s="22"/>
      <c r="D15" s="23"/>
      <c r="E15" s="27" t="s">
        <v>38</v>
      </c>
      <c r="F15" s="28"/>
      <c r="G15" s="28"/>
      <c r="H15" s="28"/>
      <c r="I15" s="29"/>
    </row>
    <row r="16" spans="1:9" ht="15.75" x14ac:dyDescent="0.2">
      <c r="A16" s="51" t="s">
        <v>33</v>
      </c>
      <c r="B16" s="52"/>
      <c r="C16" s="52"/>
      <c r="D16" s="53"/>
      <c r="E16" s="27" t="s">
        <v>40</v>
      </c>
      <c r="F16" s="28"/>
      <c r="G16" s="28"/>
      <c r="H16" s="28"/>
      <c r="I16" s="29"/>
    </row>
    <row r="17" spans="1:9" x14ac:dyDescent="0.2">
      <c r="A17" s="54" t="s">
        <v>72</v>
      </c>
      <c r="B17" s="28"/>
      <c r="C17" s="28"/>
      <c r="D17" s="55"/>
      <c r="E17" s="49"/>
      <c r="F17" s="22"/>
      <c r="G17" s="22"/>
      <c r="H17" s="22"/>
      <c r="I17" s="50"/>
    </row>
    <row r="18" spans="1:9" x14ac:dyDescent="0.2">
      <c r="A18" s="21" t="s">
        <v>73</v>
      </c>
      <c r="B18" s="22"/>
      <c r="C18" s="22"/>
      <c r="D18" s="23"/>
      <c r="E18" s="49"/>
      <c r="F18" s="22"/>
      <c r="G18" s="22"/>
      <c r="H18" s="22"/>
      <c r="I18" s="50"/>
    </row>
    <row r="19" spans="1:9" x14ac:dyDescent="0.2">
      <c r="A19" s="21" t="s">
        <v>74</v>
      </c>
      <c r="B19" s="22"/>
      <c r="C19" s="22"/>
      <c r="D19" s="23"/>
      <c r="E19" s="49"/>
      <c r="F19" s="22"/>
      <c r="G19" s="22"/>
      <c r="H19" s="22"/>
      <c r="I19" s="50"/>
    </row>
    <row r="20" spans="1:9" x14ac:dyDescent="0.2">
      <c r="A20" s="21" t="s">
        <v>75</v>
      </c>
      <c r="B20" s="22"/>
      <c r="C20" s="22"/>
      <c r="D20" s="23"/>
      <c r="E20" s="49"/>
      <c r="F20" s="22"/>
      <c r="G20" s="22"/>
      <c r="H20" s="22"/>
      <c r="I20" s="50"/>
    </row>
    <row r="21" spans="1:9" x14ac:dyDescent="0.2">
      <c r="A21" s="21" t="s">
        <v>76</v>
      </c>
      <c r="B21" s="22"/>
      <c r="C21" s="22"/>
      <c r="D21" s="23"/>
      <c r="E21" s="49"/>
      <c r="F21" s="22"/>
      <c r="G21" s="22"/>
      <c r="H21" s="22"/>
      <c r="I21" s="50"/>
    </row>
    <row r="22" spans="1:9" x14ac:dyDescent="0.2">
      <c r="A22" s="21"/>
      <c r="B22" s="22"/>
      <c r="C22" s="22"/>
      <c r="D22" s="23"/>
      <c r="E22" s="27" t="s">
        <v>34</v>
      </c>
      <c r="F22" s="55"/>
      <c r="G22" s="27" t="s">
        <v>35</v>
      </c>
      <c r="H22" s="28"/>
      <c r="I22" s="29"/>
    </row>
    <row r="23" spans="1:9" x14ac:dyDescent="0.2">
      <c r="A23" s="64"/>
      <c r="B23" s="65"/>
      <c r="C23" s="65"/>
      <c r="D23" s="66"/>
      <c r="E23" s="27" t="s">
        <v>16</v>
      </c>
      <c r="F23" s="55"/>
      <c r="G23" s="27" t="s">
        <v>28</v>
      </c>
      <c r="H23" s="28"/>
      <c r="I23" s="29"/>
    </row>
    <row r="24" spans="1:9" x14ac:dyDescent="0.2">
      <c r="A24" s="67"/>
      <c r="B24" s="68"/>
      <c r="C24" s="68"/>
      <c r="D24" s="69"/>
      <c r="E24" s="27" t="s">
        <v>36</v>
      </c>
      <c r="F24" s="28"/>
      <c r="G24" s="28"/>
      <c r="H24" s="28"/>
      <c r="I24" s="29"/>
    </row>
    <row r="25" spans="1:9" x14ac:dyDescent="0.2">
      <c r="A25" s="126" t="s">
        <v>9</v>
      </c>
      <c r="B25" s="127"/>
      <c r="C25" s="127"/>
      <c r="D25" s="128"/>
      <c r="E25" s="129" t="s">
        <v>29</v>
      </c>
      <c r="F25" s="130"/>
      <c r="G25" s="130"/>
      <c r="H25" s="130"/>
      <c r="I25" s="131"/>
    </row>
    <row r="26" spans="1:9" x14ac:dyDescent="0.2">
      <c r="A26" s="132" t="s">
        <v>10</v>
      </c>
      <c r="B26" s="133"/>
      <c r="C26" s="27" t="s">
        <v>11</v>
      </c>
      <c r="D26" s="55"/>
      <c r="E26" s="134" t="s">
        <v>12</v>
      </c>
      <c r="F26" s="135"/>
      <c r="G26" s="135"/>
      <c r="H26" s="135"/>
      <c r="I26" s="136"/>
    </row>
    <row r="27" spans="1:9" x14ac:dyDescent="0.2">
      <c r="A27" s="62"/>
      <c r="B27" s="63"/>
      <c r="C27" s="140" t="s">
        <v>45</v>
      </c>
      <c r="D27" s="141"/>
      <c r="E27" s="137"/>
      <c r="F27" s="138"/>
      <c r="G27" s="138"/>
      <c r="H27" s="138"/>
      <c r="I27" s="139"/>
    </row>
    <row r="28" spans="1:9" x14ac:dyDescent="0.2">
      <c r="A28" s="54" t="s">
        <v>13</v>
      </c>
      <c r="B28" s="55"/>
      <c r="C28" s="27" t="s">
        <v>14</v>
      </c>
      <c r="D28" s="55"/>
      <c r="E28" s="56" t="s">
        <v>78</v>
      </c>
      <c r="F28" s="57"/>
      <c r="G28" s="57"/>
      <c r="H28" s="57"/>
      <c r="I28" s="58"/>
    </row>
    <row r="29" spans="1:9" x14ac:dyDescent="0.2">
      <c r="A29" s="62"/>
      <c r="B29" s="63"/>
      <c r="C29" s="27" t="s">
        <v>28</v>
      </c>
      <c r="D29" s="55"/>
      <c r="E29" s="59"/>
      <c r="F29" s="60"/>
      <c r="G29" s="60"/>
      <c r="H29" s="60"/>
      <c r="I29" s="61"/>
    </row>
    <row r="30" spans="1:9" ht="25.5" x14ac:dyDescent="0.2">
      <c r="A30" s="2" t="s">
        <v>18</v>
      </c>
      <c r="B30" s="120" t="s">
        <v>17</v>
      </c>
      <c r="C30" s="121"/>
      <c r="D30" s="121"/>
      <c r="E30" s="121"/>
      <c r="F30" s="122"/>
      <c r="G30" s="1" t="s">
        <v>19</v>
      </c>
      <c r="H30" s="1" t="s">
        <v>20</v>
      </c>
      <c r="I30" s="3" t="s">
        <v>21</v>
      </c>
    </row>
    <row r="31" spans="1:9" x14ac:dyDescent="0.2">
      <c r="A31" s="123"/>
      <c r="B31" s="124"/>
      <c r="C31" s="124"/>
      <c r="D31" s="124"/>
      <c r="E31" s="124"/>
      <c r="F31" s="124"/>
      <c r="G31" s="124"/>
      <c r="H31" s="124"/>
      <c r="I31" s="125"/>
    </row>
    <row r="32" spans="1:9" ht="31.15" customHeight="1" x14ac:dyDescent="0.2">
      <c r="A32" s="7"/>
      <c r="B32" s="112" t="s">
        <v>46</v>
      </c>
      <c r="C32" s="113"/>
      <c r="D32" s="113"/>
      <c r="E32" s="113"/>
      <c r="F32" s="114"/>
      <c r="G32" s="6"/>
      <c r="H32" s="4"/>
      <c r="I32" s="8"/>
    </row>
    <row r="33" spans="1:9" x14ac:dyDescent="0.2">
      <c r="A33" s="7">
        <v>1</v>
      </c>
      <c r="B33" s="115" t="s">
        <v>47</v>
      </c>
      <c r="C33" s="116"/>
      <c r="D33" s="116"/>
      <c r="E33" s="116"/>
      <c r="F33" s="117"/>
      <c r="G33" s="5">
        <v>300</v>
      </c>
      <c r="H33" s="16">
        <v>2.0779999999999998</v>
      </c>
      <c r="I33" s="8">
        <f t="shared" ref="I33:I64" si="0">G33*H33</f>
        <v>623.4</v>
      </c>
    </row>
    <row r="34" spans="1:9" x14ac:dyDescent="0.2">
      <c r="A34" s="7">
        <v>2</v>
      </c>
      <c r="B34" s="115" t="s">
        <v>48</v>
      </c>
      <c r="C34" s="116"/>
      <c r="D34" s="116"/>
      <c r="E34" s="116"/>
      <c r="F34" s="117"/>
      <c r="G34" s="5">
        <v>600</v>
      </c>
      <c r="H34" s="16">
        <v>2.68</v>
      </c>
      <c r="I34" s="8">
        <f t="shared" si="0"/>
        <v>1608</v>
      </c>
    </row>
    <row r="35" spans="1:9" x14ac:dyDescent="0.2">
      <c r="A35" s="7">
        <v>3</v>
      </c>
      <c r="B35" s="115" t="s">
        <v>49</v>
      </c>
      <c r="C35" s="116"/>
      <c r="D35" s="116"/>
      <c r="E35" s="116"/>
      <c r="F35" s="117"/>
      <c r="G35" s="5">
        <v>720</v>
      </c>
      <c r="H35" s="16">
        <v>4.34</v>
      </c>
      <c r="I35" s="8">
        <f t="shared" si="0"/>
        <v>3124.7999999999997</v>
      </c>
    </row>
    <row r="36" spans="1:9" x14ac:dyDescent="0.2">
      <c r="A36" s="7">
        <v>4</v>
      </c>
      <c r="B36" s="115" t="s">
        <v>50</v>
      </c>
      <c r="C36" s="116"/>
      <c r="D36" s="116"/>
      <c r="E36" s="116"/>
      <c r="F36" s="117"/>
      <c r="G36" s="5">
        <v>120</v>
      </c>
      <c r="H36" s="16">
        <v>5.55</v>
      </c>
      <c r="I36" s="8">
        <f t="shared" si="0"/>
        <v>666</v>
      </c>
    </row>
    <row r="37" spans="1:9" x14ac:dyDescent="0.2">
      <c r="A37" s="7">
        <v>5</v>
      </c>
      <c r="B37" s="115" t="s">
        <v>51</v>
      </c>
      <c r="C37" s="116"/>
      <c r="D37" s="116"/>
      <c r="E37" s="116"/>
      <c r="F37" s="117"/>
      <c r="G37" s="5">
        <v>720</v>
      </c>
      <c r="H37" s="16">
        <v>6.42</v>
      </c>
      <c r="I37" s="8">
        <f t="shared" si="0"/>
        <v>4622.3999999999996</v>
      </c>
    </row>
    <row r="38" spans="1:9" x14ac:dyDescent="0.2">
      <c r="A38" s="7">
        <v>6</v>
      </c>
      <c r="B38" s="115" t="s">
        <v>52</v>
      </c>
      <c r="C38" s="116"/>
      <c r="D38" s="116"/>
      <c r="E38" s="116"/>
      <c r="F38" s="117"/>
      <c r="G38" s="5">
        <v>720</v>
      </c>
      <c r="H38" s="16">
        <v>8.077</v>
      </c>
      <c r="I38" s="8">
        <f t="shared" si="0"/>
        <v>5815.44</v>
      </c>
    </row>
    <row r="39" spans="1:9" x14ac:dyDescent="0.2">
      <c r="A39" s="7">
        <v>7</v>
      </c>
      <c r="B39" s="115" t="s">
        <v>53</v>
      </c>
      <c r="C39" s="116"/>
      <c r="D39" s="116"/>
      <c r="E39" s="116"/>
      <c r="F39" s="117"/>
      <c r="G39" s="5">
        <v>240</v>
      </c>
      <c r="H39" s="16">
        <v>10.82</v>
      </c>
      <c r="I39" s="8">
        <f t="shared" si="0"/>
        <v>2596.8000000000002</v>
      </c>
    </row>
    <row r="40" spans="1:9" x14ac:dyDescent="0.2">
      <c r="A40" s="7">
        <v>8</v>
      </c>
      <c r="B40" s="115" t="s">
        <v>54</v>
      </c>
      <c r="C40" s="116"/>
      <c r="D40" s="116"/>
      <c r="E40" s="116"/>
      <c r="F40" s="117"/>
      <c r="G40" s="5">
        <v>480</v>
      </c>
      <c r="H40" s="16">
        <v>13.28</v>
      </c>
      <c r="I40" s="8">
        <f t="shared" si="0"/>
        <v>6374.4</v>
      </c>
    </row>
    <row r="41" spans="1:9" x14ac:dyDescent="0.2">
      <c r="A41" s="7">
        <v>9</v>
      </c>
      <c r="B41" s="115" t="s">
        <v>55</v>
      </c>
      <c r="C41" s="116"/>
      <c r="D41" s="116"/>
      <c r="E41" s="116"/>
      <c r="F41" s="117"/>
      <c r="G41" s="5">
        <v>480</v>
      </c>
      <c r="H41" s="16">
        <v>17.2</v>
      </c>
      <c r="I41" s="8">
        <f t="shared" si="0"/>
        <v>8256</v>
      </c>
    </row>
    <row r="42" spans="1:9" x14ac:dyDescent="0.2">
      <c r="A42" s="7">
        <v>10</v>
      </c>
      <c r="B42" s="115" t="s">
        <v>56</v>
      </c>
      <c r="C42" s="116"/>
      <c r="D42" s="116"/>
      <c r="E42" s="116"/>
      <c r="F42" s="117"/>
      <c r="G42" s="5">
        <v>30</v>
      </c>
      <c r="H42" s="16">
        <v>23.78</v>
      </c>
      <c r="I42" s="8">
        <f t="shared" si="0"/>
        <v>713.40000000000009</v>
      </c>
    </row>
    <row r="43" spans="1:9" x14ac:dyDescent="0.2">
      <c r="A43" s="7">
        <v>11</v>
      </c>
      <c r="B43" s="115" t="s">
        <v>57</v>
      </c>
      <c r="C43" s="116"/>
      <c r="D43" s="116"/>
      <c r="E43" s="116"/>
      <c r="F43" s="117"/>
      <c r="G43" s="5">
        <v>120</v>
      </c>
      <c r="H43" s="16">
        <v>28.9</v>
      </c>
      <c r="I43" s="8">
        <f t="shared" si="0"/>
        <v>3468</v>
      </c>
    </row>
    <row r="44" spans="1:9" x14ac:dyDescent="0.2">
      <c r="A44" s="7">
        <v>12</v>
      </c>
      <c r="B44" s="115" t="s">
        <v>58</v>
      </c>
      <c r="C44" s="116"/>
      <c r="D44" s="116"/>
      <c r="E44" s="116"/>
      <c r="F44" s="117"/>
      <c r="G44" s="5">
        <v>60</v>
      </c>
      <c r="H44" s="16">
        <v>41.73</v>
      </c>
      <c r="I44" s="8">
        <f t="shared" si="0"/>
        <v>2503.7999999999997</v>
      </c>
    </row>
    <row r="45" spans="1:9" x14ac:dyDescent="0.2">
      <c r="A45" s="7">
        <v>13</v>
      </c>
      <c r="B45" s="115" t="s">
        <v>59</v>
      </c>
      <c r="C45" s="116"/>
      <c r="D45" s="116"/>
      <c r="E45" s="116"/>
      <c r="F45" s="117"/>
      <c r="G45" s="5">
        <v>36</v>
      </c>
      <c r="H45" s="16">
        <v>2.64</v>
      </c>
      <c r="I45" s="8">
        <f t="shared" si="0"/>
        <v>95.04</v>
      </c>
    </row>
    <row r="46" spans="1:9" x14ac:dyDescent="0.2">
      <c r="A46" s="7">
        <v>14</v>
      </c>
      <c r="B46" s="115" t="s">
        <v>60</v>
      </c>
      <c r="C46" s="116"/>
      <c r="D46" s="116"/>
      <c r="E46" s="116"/>
      <c r="F46" s="117"/>
      <c r="G46" s="5">
        <v>36</v>
      </c>
      <c r="H46" s="16">
        <v>3.54</v>
      </c>
      <c r="I46" s="8">
        <f t="shared" si="0"/>
        <v>127.44</v>
      </c>
    </row>
    <row r="47" spans="1:9" x14ac:dyDescent="0.2">
      <c r="A47" s="7">
        <v>15</v>
      </c>
      <c r="B47" s="115" t="s">
        <v>61</v>
      </c>
      <c r="C47" s="116"/>
      <c r="D47" s="116"/>
      <c r="E47" s="116"/>
      <c r="F47" s="117"/>
      <c r="G47" s="5">
        <v>60</v>
      </c>
      <c r="H47" s="16">
        <v>5.15</v>
      </c>
      <c r="I47" s="8">
        <f>G47*H47</f>
        <v>309</v>
      </c>
    </row>
    <row r="48" spans="1:9" x14ac:dyDescent="0.2">
      <c r="A48" s="7">
        <v>16</v>
      </c>
      <c r="B48" s="115" t="s">
        <v>62</v>
      </c>
      <c r="C48" s="116"/>
      <c r="D48" s="116"/>
      <c r="E48" s="116"/>
      <c r="F48" s="117"/>
      <c r="G48" s="5">
        <v>36</v>
      </c>
      <c r="H48" s="16">
        <v>6.98</v>
      </c>
      <c r="I48" s="8">
        <f t="shared" si="0"/>
        <v>251.28000000000003</v>
      </c>
    </row>
    <row r="49" spans="1:9" x14ac:dyDescent="0.2">
      <c r="A49" s="7">
        <v>17</v>
      </c>
      <c r="B49" s="115" t="s">
        <v>63</v>
      </c>
      <c r="C49" s="116"/>
      <c r="D49" s="116"/>
      <c r="E49" s="116"/>
      <c r="F49" s="117"/>
      <c r="G49" s="5">
        <v>60</v>
      </c>
      <c r="H49" s="16">
        <v>8.33</v>
      </c>
      <c r="I49" s="8">
        <f t="shared" si="0"/>
        <v>499.8</v>
      </c>
    </row>
    <row r="50" spans="1:9" x14ac:dyDescent="0.2">
      <c r="A50" s="7">
        <v>18</v>
      </c>
      <c r="B50" s="115" t="s">
        <v>64</v>
      </c>
      <c r="C50" s="116"/>
      <c r="D50" s="116"/>
      <c r="E50" s="116"/>
      <c r="F50" s="117"/>
      <c r="G50" s="5">
        <v>60</v>
      </c>
      <c r="H50" s="16">
        <v>11.18</v>
      </c>
      <c r="I50" s="8">
        <f t="shared" si="0"/>
        <v>670.8</v>
      </c>
    </row>
    <row r="51" spans="1:9" x14ac:dyDescent="0.2">
      <c r="A51" s="7">
        <v>19</v>
      </c>
      <c r="B51" s="115" t="s">
        <v>65</v>
      </c>
      <c r="C51" s="116"/>
      <c r="D51" s="116"/>
      <c r="E51" s="116"/>
      <c r="F51" s="117"/>
      <c r="G51" s="5">
        <v>60</v>
      </c>
      <c r="H51" s="16">
        <v>17.75</v>
      </c>
      <c r="I51" s="8">
        <f t="shared" si="0"/>
        <v>1065</v>
      </c>
    </row>
    <row r="52" spans="1:9" x14ac:dyDescent="0.2">
      <c r="A52" s="7">
        <v>20</v>
      </c>
      <c r="B52" s="115" t="s">
        <v>66</v>
      </c>
      <c r="C52" s="116"/>
      <c r="D52" s="116"/>
      <c r="E52" s="116"/>
      <c r="F52" s="117"/>
      <c r="G52" s="5">
        <v>60</v>
      </c>
      <c r="H52" s="16">
        <v>23.48</v>
      </c>
      <c r="I52" s="8">
        <f t="shared" si="0"/>
        <v>1408.8</v>
      </c>
    </row>
    <row r="53" spans="1:9" x14ac:dyDescent="0.2">
      <c r="A53" s="7">
        <v>21</v>
      </c>
      <c r="B53" s="115" t="s">
        <v>67</v>
      </c>
      <c r="C53" s="116"/>
      <c r="D53" s="116"/>
      <c r="E53" s="116"/>
      <c r="F53" s="117"/>
      <c r="G53" s="5">
        <v>60</v>
      </c>
      <c r="H53" s="16">
        <v>33.380000000000003</v>
      </c>
      <c r="I53" s="8">
        <f t="shared" si="0"/>
        <v>2002.8000000000002</v>
      </c>
    </row>
    <row r="54" spans="1:9" x14ac:dyDescent="0.2">
      <c r="A54" s="7"/>
      <c r="B54" s="115"/>
      <c r="C54" s="116"/>
      <c r="D54" s="116"/>
      <c r="E54" s="116"/>
      <c r="F54" s="117"/>
      <c r="G54" s="6"/>
      <c r="H54" s="4"/>
      <c r="I54" s="8"/>
    </row>
    <row r="55" spans="1:9" ht="42" customHeight="1" x14ac:dyDescent="0.2">
      <c r="A55" s="7"/>
      <c r="B55" s="112" t="s">
        <v>79</v>
      </c>
      <c r="C55" s="113"/>
      <c r="D55" s="113"/>
      <c r="E55" s="113"/>
      <c r="F55" s="114"/>
      <c r="G55" s="6"/>
      <c r="H55" s="4"/>
      <c r="I55" s="8"/>
    </row>
    <row r="56" spans="1:9" x14ac:dyDescent="0.2">
      <c r="A56" s="7">
        <v>25</v>
      </c>
      <c r="B56" s="115" t="s">
        <v>47</v>
      </c>
      <c r="C56" s="116"/>
      <c r="D56" s="116"/>
      <c r="E56" s="116"/>
      <c r="F56" s="117"/>
      <c r="G56" s="5">
        <v>90</v>
      </c>
      <c r="H56" s="16">
        <v>3.76</v>
      </c>
      <c r="I56" s="8">
        <f t="shared" si="0"/>
        <v>338.4</v>
      </c>
    </row>
    <row r="57" spans="1:9" x14ac:dyDescent="0.2">
      <c r="A57" s="7">
        <v>26</v>
      </c>
      <c r="B57" s="115" t="s">
        <v>48</v>
      </c>
      <c r="C57" s="116"/>
      <c r="D57" s="116"/>
      <c r="E57" s="116"/>
      <c r="F57" s="117"/>
      <c r="G57" s="5">
        <v>300</v>
      </c>
      <c r="H57" s="16">
        <v>4.8499999999999996</v>
      </c>
      <c r="I57" s="8">
        <f t="shared" si="0"/>
        <v>1455</v>
      </c>
    </row>
    <row r="58" spans="1:9" x14ac:dyDescent="0.2">
      <c r="A58" s="7">
        <v>27</v>
      </c>
      <c r="B58" s="115" t="s">
        <v>49</v>
      </c>
      <c r="C58" s="116"/>
      <c r="D58" s="116"/>
      <c r="E58" s="116"/>
      <c r="F58" s="117"/>
      <c r="G58" s="5">
        <v>300</v>
      </c>
      <c r="H58" s="16">
        <v>7.9</v>
      </c>
      <c r="I58" s="8">
        <f t="shared" si="0"/>
        <v>2370</v>
      </c>
    </row>
    <row r="59" spans="1:9" x14ac:dyDescent="0.2">
      <c r="A59" s="7">
        <v>28</v>
      </c>
      <c r="B59" s="115" t="s">
        <v>50</v>
      </c>
      <c r="C59" s="116"/>
      <c r="D59" s="116"/>
      <c r="E59" s="116"/>
      <c r="F59" s="117"/>
      <c r="G59" s="5">
        <v>60</v>
      </c>
      <c r="H59" s="16">
        <v>10.199999999999999</v>
      </c>
      <c r="I59" s="8">
        <f t="shared" si="0"/>
        <v>612</v>
      </c>
    </row>
    <row r="60" spans="1:9" x14ac:dyDescent="0.2">
      <c r="A60" s="7">
        <v>29</v>
      </c>
      <c r="B60" s="115" t="s">
        <v>51</v>
      </c>
      <c r="C60" s="116"/>
      <c r="D60" s="116"/>
      <c r="E60" s="116"/>
      <c r="F60" s="117"/>
      <c r="G60" s="5">
        <v>180</v>
      </c>
      <c r="H60" s="16">
        <v>11.78</v>
      </c>
      <c r="I60" s="8">
        <f t="shared" si="0"/>
        <v>2120.4</v>
      </c>
    </row>
    <row r="61" spans="1:9" x14ac:dyDescent="0.2">
      <c r="A61" s="7">
        <v>30</v>
      </c>
      <c r="B61" s="115" t="s">
        <v>52</v>
      </c>
      <c r="C61" s="116"/>
      <c r="D61" s="116"/>
      <c r="E61" s="116"/>
      <c r="F61" s="117"/>
      <c r="G61" s="5">
        <v>180</v>
      </c>
      <c r="H61" s="16">
        <v>14.86</v>
      </c>
      <c r="I61" s="8">
        <f t="shared" si="0"/>
        <v>2674.7999999999997</v>
      </c>
    </row>
    <row r="62" spans="1:9" x14ac:dyDescent="0.2">
      <c r="A62" s="7">
        <v>31</v>
      </c>
      <c r="B62" s="115" t="s">
        <v>53</v>
      </c>
      <c r="C62" s="116"/>
      <c r="D62" s="116"/>
      <c r="E62" s="116"/>
      <c r="F62" s="117"/>
      <c r="G62" s="5">
        <v>12</v>
      </c>
      <c r="H62" s="16">
        <v>19.920000000000002</v>
      </c>
      <c r="I62" s="8">
        <f t="shared" si="0"/>
        <v>239.04000000000002</v>
      </c>
    </row>
    <row r="63" spans="1:9" x14ac:dyDescent="0.2">
      <c r="A63" s="7">
        <v>32</v>
      </c>
      <c r="B63" s="115" t="s">
        <v>54</v>
      </c>
      <c r="C63" s="116"/>
      <c r="D63" s="116"/>
      <c r="E63" s="116"/>
      <c r="F63" s="117"/>
      <c r="G63" s="5">
        <v>36</v>
      </c>
      <c r="H63" s="16">
        <v>24.46</v>
      </c>
      <c r="I63" s="8">
        <f t="shared" si="0"/>
        <v>880.56000000000006</v>
      </c>
    </row>
    <row r="64" spans="1:9" x14ac:dyDescent="0.2">
      <c r="A64" s="7">
        <v>33</v>
      </c>
      <c r="B64" s="115" t="s">
        <v>55</v>
      </c>
      <c r="C64" s="116"/>
      <c r="D64" s="116"/>
      <c r="E64" s="116"/>
      <c r="F64" s="117"/>
      <c r="G64" s="5">
        <v>36</v>
      </c>
      <c r="H64" s="16">
        <v>31.65</v>
      </c>
      <c r="I64" s="8">
        <f t="shared" si="0"/>
        <v>1139.3999999999999</v>
      </c>
    </row>
    <row r="65" spans="1:9" x14ac:dyDescent="0.2">
      <c r="A65" s="7"/>
      <c r="B65" s="115"/>
      <c r="C65" s="116"/>
      <c r="D65" s="116"/>
      <c r="E65" s="116"/>
      <c r="F65" s="117"/>
      <c r="G65" s="6"/>
      <c r="H65" s="4"/>
      <c r="I65" s="8"/>
    </row>
    <row r="66" spans="1:9" ht="13.5" thickBot="1" x14ac:dyDescent="0.25">
      <c r="A66" s="9"/>
      <c r="B66" s="142"/>
      <c r="C66" s="143"/>
      <c r="D66" s="143"/>
      <c r="E66" s="143"/>
      <c r="F66" s="144"/>
      <c r="G66" s="10"/>
      <c r="H66" s="11"/>
      <c r="I66" s="12"/>
    </row>
    <row r="67" spans="1:9" ht="13.5" thickBot="1" x14ac:dyDescent="0.25">
      <c r="A67" s="13"/>
      <c r="B67" s="145" t="s">
        <v>22</v>
      </c>
      <c r="C67" s="146"/>
      <c r="D67" s="146"/>
      <c r="E67" s="146"/>
      <c r="F67" s="147"/>
      <c r="G67" s="17">
        <f>SUM(G32:G66)</f>
        <v>6252</v>
      </c>
      <c r="H67" s="14"/>
      <c r="I67" s="15">
        <f>SUM(I32:I66)</f>
        <v>58632.000000000022</v>
      </c>
    </row>
    <row r="68" spans="1:9" x14ac:dyDescent="0.2">
      <c r="A68" s="109"/>
      <c r="B68" s="110"/>
      <c r="C68" s="110"/>
      <c r="D68" s="110"/>
      <c r="E68" s="110"/>
      <c r="F68" s="110"/>
      <c r="G68" s="110"/>
      <c r="H68" s="110"/>
      <c r="I68" s="111"/>
    </row>
    <row r="69" spans="1:9" ht="15" x14ac:dyDescent="0.2">
      <c r="A69" s="97" t="s">
        <v>31</v>
      </c>
      <c r="B69" s="98"/>
      <c r="C69" s="98"/>
      <c r="D69" s="99"/>
      <c r="E69" s="99"/>
      <c r="F69" s="99"/>
      <c r="G69" s="99"/>
      <c r="H69" s="99"/>
      <c r="I69" s="100"/>
    </row>
    <row r="70" spans="1:9" ht="17.45" customHeight="1" x14ac:dyDescent="0.2">
      <c r="A70" s="94" t="s">
        <v>23</v>
      </c>
      <c r="B70" s="95"/>
      <c r="C70" s="95"/>
      <c r="D70" s="95"/>
      <c r="E70" s="101"/>
      <c r="F70" s="102" t="s">
        <v>30</v>
      </c>
      <c r="G70" s="103"/>
      <c r="H70" s="104" t="s">
        <v>68</v>
      </c>
      <c r="I70" s="105"/>
    </row>
    <row r="71" spans="1:9" ht="13.9" customHeight="1" thickBot="1" x14ac:dyDescent="0.25">
      <c r="A71" s="94" t="s">
        <v>24</v>
      </c>
      <c r="B71" s="95"/>
      <c r="C71" s="95"/>
      <c r="D71" s="95"/>
      <c r="E71" s="101"/>
      <c r="F71" s="106"/>
      <c r="G71" s="107"/>
      <c r="H71" s="107"/>
      <c r="I71" s="108"/>
    </row>
    <row r="72" spans="1:9" ht="13.15" customHeight="1" x14ac:dyDescent="0.2">
      <c r="A72" s="94" t="s">
        <v>25</v>
      </c>
      <c r="B72" s="95"/>
      <c r="C72" s="95"/>
      <c r="D72" s="95"/>
      <c r="E72" s="96"/>
      <c r="F72" s="79" t="s">
        <v>77</v>
      </c>
      <c r="G72" s="80"/>
      <c r="H72" s="80"/>
      <c r="I72" s="81"/>
    </row>
    <row r="73" spans="1:9" ht="13.15" customHeight="1" x14ac:dyDescent="0.2">
      <c r="A73" s="94" t="s">
        <v>26</v>
      </c>
      <c r="B73" s="95"/>
      <c r="C73" s="95"/>
      <c r="D73" s="95"/>
      <c r="E73" s="96"/>
      <c r="F73" s="82"/>
      <c r="G73" s="83"/>
      <c r="H73" s="83"/>
      <c r="I73" s="84"/>
    </row>
    <row r="74" spans="1:9" ht="16.899999999999999" customHeight="1" x14ac:dyDescent="0.2">
      <c r="A74" s="88" t="s">
        <v>69</v>
      </c>
      <c r="B74" s="89"/>
      <c r="C74" s="89"/>
      <c r="D74" s="89"/>
      <c r="E74" s="90"/>
      <c r="F74" s="82"/>
      <c r="G74" s="83"/>
      <c r="H74" s="83"/>
      <c r="I74" s="84"/>
    </row>
    <row r="75" spans="1:9" ht="22.15" customHeight="1" x14ac:dyDescent="0.2">
      <c r="A75" s="88" t="s">
        <v>70</v>
      </c>
      <c r="B75" s="89"/>
      <c r="C75" s="89"/>
      <c r="D75" s="89"/>
      <c r="E75" s="90"/>
      <c r="F75" s="82"/>
      <c r="G75" s="83"/>
      <c r="H75" s="83"/>
      <c r="I75" s="84"/>
    </row>
    <row r="76" spans="1:9" ht="24" customHeight="1" thickBot="1" x14ac:dyDescent="0.25">
      <c r="A76" s="91" t="s">
        <v>71</v>
      </c>
      <c r="B76" s="92"/>
      <c r="C76" s="92"/>
      <c r="D76" s="92"/>
      <c r="E76" s="93"/>
      <c r="F76" s="85"/>
      <c r="G76" s="86"/>
      <c r="H76" s="86"/>
      <c r="I76" s="87"/>
    </row>
  </sheetData>
  <mergeCells count="103">
    <mergeCell ref="B55:F55"/>
    <mergeCell ref="B66:F66"/>
    <mergeCell ref="B67:F67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52:F52"/>
    <mergeCell ref="B53:F53"/>
    <mergeCell ref="B35:F35"/>
    <mergeCell ref="B36:F36"/>
    <mergeCell ref="B37:F37"/>
    <mergeCell ref="B38:F38"/>
    <mergeCell ref="B39:F39"/>
    <mergeCell ref="E9:F9"/>
    <mergeCell ref="B54:F54"/>
    <mergeCell ref="B40:F40"/>
    <mergeCell ref="B41:F41"/>
    <mergeCell ref="B42:F42"/>
    <mergeCell ref="B43:F43"/>
    <mergeCell ref="B44:F44"/>
    <mergeCell ref="B45:F45"/>
    <mergeCell ref="B30:F30"/>
    <mergeCell ref="A31:I31"/>
    <mergeCell ref="A25:D25"/>
    <mergeCell ref="E25:I25"/>
    <mergeCell ref="A26:B26"/>
    <mergeCell ref="C26:D26"/>
    <mergeCell ref="E26:I27"/>
    <mergeCell ref="A27:B27"/>
    <mergeCell ref="C27:D27"/>
    <mergeCell ref="A1:I6"/>
    <mergeCell ref="F72:I76"/>
    <mergeCell ref="A74:E74"/>
    <mergeCell ref="A75:E75"/>
    <mergeCell ref="A76:E76"/>
    <mergeCell ref="A72:E72"/>
    <mergeCell ref="A73:E73"/>
    <mergeCell ref="A69:C69"/>
    <mergeCell ref="D69:I69"/>
    <mergeCell ref="A70:E70"/>
    <mergeCell ref="A71:E71"/>
    <mergeCell ref="F70:G70"/>
    <mergeCell ref="H70:I70"/>
    <mergeCell ref="F71:I71"/>
    <mergeCell ref="A68:I68"/>
    <mergeCell ref="B32:F32"/>
    <mergeCell ref="B33:F33"/>
    <mergeCell ref="B34:F34"/>
    <mergeCell ref="B46:F46"/>
    <mergeCell ref="B47:F47"/>
    <mergeCell ref="B48:F48"/>
    <mergeCell ref="B49:F49"/>
    <mergeCell ref="B50:F50"/>
    <mergeCell ref="B51:F51"/>
    <mergeCell ref="A28:B28"/>
    <mergeCell ref="C28:D28"/>
    <mergeCell ref="E28:I29"/>
    <mergeCell ref="A29:B29"/>
    <mergeCell ref="C29:D29"/>
    <mergeCell ref="A22:D22"/>
    <mergeCell ref="E22:F22"/>
    <mergeCell ref="G22:I22"/>
    <mergeCell ref="A23:D24"/>
    <mergeCell ref="E23:F23"/>
    <mergeCell ref="G23:I23"/>
    <mergeCell ref="E24:I24"/>
    <mergeCell ref="A19:D19"/>
    <mergeCell ref="E19:I19"/>
    <mergeCell ref="A20:D20"/>
    <mergeCell ref="E20:I20"/>
    <mergeCell ref="A21:D21"/>
    <mergeCell ref="E21:I21"/>
    <mergeCell ref="A16:D16"/>
    <mergeCell ref="E16:I16"/>
    <mergeCell ref="A17:D17"/>
    <mergeCell ref="E17:I17"/>
    <mergeCell ref="A18:D18"/>
    <mergeCell ref="E18:I18"/>
    <mergeCell ref="A13:D13"/>
    <mergeCell ref="E13:I13"/>
    <mergeCell ref="A14:D14"/>
    <mergeCell ref="E14:I14"/>
    <mergeCell ref="A15:D15"/>
    <mergeCell ref="E15:I15"/>
    <mergeCell ref="A12:D12"/>
    <mergeCell ref="E12:I12"/>
    <mergeCell ref="A7:I7"/>
    <mergeCell ref="A8:D8"/>
    <mergeCell ref="E8:F8"/>
    <mergeCell ref="G8:I8"/>
    <mergeCell ref="A9:D9"/>
    <mergeCell ref="A10:D10"/>
    <mergeCell ref="E10:I10"/>
    <mergeCell ref="A11:D11"/>
    <mergeCell ref="E11:F11"/>
    <mergeCell ref="G11:I11"/>
  </mergeCells>
  <hyperlinks>
    <hyperlink ref="A15" r:id="rId1" display="mailto:export@nascentgroup.in" xr:uid="{0A794FF3-ADEB-44ED-82D2-4DDD303CA3D2}"/>
  </hyperlinks>
  <pageMargins left="0.7" right="0.7" top="0.75" bottom="0.75" header="0.3" footer="0.3"/>
  <pageSetup paperSize="9" scale="6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Contato Overhead</cp:lastModifiedBy>
  <cp:lastPrinted>2026-01-15T13:15:34Z</cp:lastPrinted>
  <dcterms:created xsi:type="dcterms:W3CDTF">2025-04-04T06:20:05Z</dcterms:created>
  <dcterms:modified xsi:type="dcterms:W3CDTF">2026-01-19T13:25:54Z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2024-02-08T00:00:00Z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2025-04-04T00:00:00Z</vt:filetime>
  </property>
  <property fmtid="{D5CDD505-2E9C-101B-9397-08002B2CF9AE}" pid="5" name="Producer">
    <vt:lpwstr>Microsoft® Excel® 2016</vt:lpwstr>
  </property>
</Properties>
</file>
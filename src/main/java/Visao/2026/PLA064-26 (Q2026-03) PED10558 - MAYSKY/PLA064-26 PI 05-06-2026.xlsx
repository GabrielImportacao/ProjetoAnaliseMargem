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64-26 (Q2026-03) PED10558 - MAYSKY\"/>
    </mc:Choice>
  </mc:AlternateContent>
  <xr:revisionPtr revIDLastSave="0" documentId="13_ncr:1_{3058370C-E552-4B13-A08A-9668439F44BB}" xr6:coauthVersionLast="47" xr6:coauthVersionMax="47" xr10:uidLastSave="{00000000-0000-0000-0000-000000000000}"/>
  <bookViews>
    <workbookView xWindow="-120" yWindow="-120" windowWidth="29040" windowHeight="15720" xr2:uid="{BE9D2A24-18D3-4309-BA06-C028C838658A}"/>
  </bookViews>
  <sheets>
    <sheet name="Invoice" sheetId="1" r:id="rId1"/>
  </sheets>
  <externalReferences>
    <externalReference r:id="rId2"/>
  </externalReferences>
  <definedNames>
    <definedName name="_xlnm.Print_Area" localSheetId="0">Invoice!$A$1:$Z$106</definedName>
    <definedName name="Base_Acréssimo">#REF!</definedName>
    <definedName name="Base_DescontoF1">#REF!</definedName>
    <definedName name="Base_DescontoF10">#REF!</definedName>
    <definedName name="Base_DescontoF2">#REF!</definedName>
    <definedName name="Base_DescontoF3">#REF!</definedName>
    <definedName name="Base_DescontoF4">#REF!</definedName>
    <definedName name="Base_DescontoF5">#REF!</definedName>
    <definedName name="Base_DescontoF6">#REF!</definedName>
    <definedName name="Base_DescontoF7">#REF!</definedName>
    <definedName name="Base_DescontoF8">#REF!</definedName>
    <definedName name="Base_DescontoF9">#REF!</definedName>
    <definedName name="Base_Dólar">#REF!</definedName>
    <definedName name="Base_NomeFornecedor">#REF!</definedName>
    <definedName name="Base_NomeFornecedor1">#REF!</definedName>
    <definedName name="Base_NomeFornecedor10">#REF!</definedName>
    <definedName name="Base_NomeFornecedor2">#REF!</definedName>
    <definedName name="Base_NomeFornecedor3">#REF!</definedName>
    <definedName name="Base_NomeFornecedor4">#REF!</definedName>
    <definedName name="Base_NomeFornecedor5">#REF!</definedName>
    <definedName name="Base_NomeFornecedor6">#REF!</definedName>
    <definedName name="Base_NomeFornecedor7">#REF!</definedName>
    <definedName name="Base_NomeFornecedor8">#REF!</definedName>
    <definedName name="Base_NomeFornecedor9">#REF!</definedName>
    <definedName name="Base_PesoContainer">#REF!</definedName>
    <definedName name="Base_PesoTotal">#REF!</definedName>
    <definedName name="Base_QtdeContainer">#REF!</definedName>
    <definedName name="ListBox_Fornecerdores">#REF!</definedName>
    <definedName name="Pesquisa_FornecedorA">#REF!</definedName>
    <definedName name="Pesquisa_FornecedorB">#REF!</definedName>
    <definedName name="Pesquisa_FornecedorX">#REF!</definedName>
    <definedName name="_xlnm.Print_Titles" localSheetId="0">Invoice!$23:$23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80" i="1" l="1"/>
  <c r="V80" i="1"/>
  <c r="W80" i="1" s="1"/>
  <c r="V79" i="1"/>
  <c r="Y79" i="1"/>
  <c r="V37" i="1"/>
  <c r="V38" i="1"/>
  <c r="V39" i="1"/>
  <c r="V40" i="1"/>
  <c r="V41" i="1"/>
  <c r="V42" i="1"/>
  <c r="V44" i="1"/>
  <c r="V45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R81" i="1" l="1"/>
  <c r="C83" i="1" s="1"/>
  <c r="Y80" i="1"/>
  <c r="W79" i="1"/>
  <c r="T79" i="1"/>
  <c r="L79" i="1"/>
  <c r="K79" i="1"/>
  <c r="J79" i="1"/>
  <c r="I79" i="1"/>
  <c r="H79" i="1"/>
  <c r="F79" i="1"/>
  <c r="D79" i="1"/>
  <c r="Y78" i="1"/>
  <c r="V78" i="1"/>
  <c r="W78" i="1" s="1"/>
  <c r="T78" i="1"/>
  <c r="L78" i="1"/>
  <c r="K78" i="1"/>
  <c r="J78" i="1"/>
  <c r="I78" i="1"/>
  <c r="H78" i="1"/>
  <c r="F78" i="1"/>
  <c r="D78" i="1"/>
  <c r="Y77" i="1"/>
  <c r="V77" i="1"/>
  <c r="W77" i="1" s="1"/>
  <c r="T77" i="1"/>
  <c r="L77" i="1"/>
  <c r="K77" i="1"/>
  <c r="J77" i="1"/>
  <c r="I77" i="1"/>
  <c r="H77" i="1"/>
  <c r="F77" i="1"/>
  <c r="D77" i="1"/>
  <c r="Y76" i="1"/>
  <c r="V76" i="1"/>
  <c r="W76" i="1" s="1"/>
  <c r="T76" i="1"/>
  <c r="L76" i="1"/>
  <c r="K76" i="1"/>
  <c r="J76" i="1"/>
  <c r="I76" i="1"/>
  <c r="H76" i="1"/>
  <c r="F76" i="1"/>
  <c r="D76" i="1"/>
  <c r="Y75" i="1"/>
  <c r="V75" i="1"/>
  <c r="W75" i="1" s="1"/>
  <c r="T75" i="1"/>
  <c r="L75" i="1"/>
  <c r="K75" i="1"/>
  <c r="J75" i="1"/>
  <c r="I75" i="1"/>
  <c r="H75" i="1"/>
  <c r="F75" i="1"/>
  <c r="D75" i="1"/>
  <c r="Y74" i="1"/>
  <c r="V74" i="1"/>
  <c r="W74" i="1" s="1"/>
  <c r="T74" i="1"/>
  <c r="L74" i="1"/>
  <c r="K74" i="1"/>
  <c r="J74" i="1"/>
  <c r="I74" i="1"/>
  <c r="H74" i="1"/>
  <c r="F74" i="1"/>
  <c r="D74" i="1"/>
  <c r="Y73" i="1"/>
  <c r="V73" i="1"/>
  <c r="W73" i="1" s="1"/>
  <c r="T73" i="1"/>
  <c r="L73" i="1"/>
  <c r="K73" i="1"/>
  <c r="J73" i="1"/>
  <c r="I73" i="1"/>
  <c r="H73" i="1"/>
  <c r="F73" i="1"/>
  <c r="D73" i="1"/>
  <c r="Y72" i="1"/>
  <c r="V72" i="1"/>
  <c r="W72" i="1" s="1"/>
  <c r="T72" i="1"/>
  <c r="L72" i="1"/>
  <c r="K72" i="1"/>
  <c r="J72" i="1"/>
  <c r="I72" i="1"/>
  <c r="H72" i="1"/>
  <c r="F72" i="1"/>
  <c r="D72" i="1"/>
  <c r="Y71" i="1"/>
  <c r="V71" i="1"/>
  <c r="W71" i="1" s="1"/>
  <c r="T71" i="1"/>
  <c r="L71" i="1"/>
  <c r="K71" i="1"/>
  <c r="J71" i="1"/>
  <c r="I71" i="1"/>
  <c r="H71" i="1"/>
  <c r="F71" i="1"/>
  <c r="D71" i="1"/>
  <c r="Y70" i="1"/>
  <c r="V70" i="1"/>
  <c r="W70" i="1" s="1"/>
  <c r="T70" i="1"/>
  <c r="L70" i="1"/>
  <c r="K70" i="1"/>
  <c r="J70" i="1"/>
  <c r="I70" i="1"/>
  <c r="H70" i="1"/>
  <c r="F70" i="1"/>
  <c r="D70" i="1"/>
  <c r="Y69" i="1"/>
  <c r="V69" i="1"/>
  <c r="W69" i="1" s="1"/>
  <c r="T69" i="1"/>
  <c r="L69" i="1"/>
  <c r="K69" i="1"/>
  <c r="J69" i="1"/>
  <c r="I69" i="1"/>
  <c r="H69" i="1"/>
  <c r="F69" i="1"/>
  <c r="D69" i="1"/>
  <c r="Y68" i="1"/>
  <c r="V68" i="1"/>
  <c r="W68" i="1" s="1"/>
  <c r="T68" i="1"/>
  <c r="L68" i="1"/>
  <c r="K68" i="1"/>
  <c r="J68" i="1"/>
  <c r="I68" i="1"/>
  <c r="H68" i="1"/>
  <c r="F68" i="1"/>
  <c r="D68" i="1"/>
  <c r="Y67" i="1"/>
  <c r="V67" i="1"/>
  <c r="W67" i="1" s="1"/>
  <c r="T67" i="1"/>
  <c r="L67" i="1"/>
  <c r="K67" i="1"/>
  <c r="J67" i="1"/>
  <c r="I67" i="1"/>
  <c r="H67" i="1"/>
  <c r="F67" i="1"/>
  <c r="D67" i="1"/>
  <c r="Y66" i="1"/>
  <c r="V66" i="1"/>
  <c r="W66" i="1" s="1"/>
  <c r="T66" i="1"/>
  <c r="L66" i="1"/>
  <c r="K66" i="1"/>
  <c r="J66" i="1"/>
  <c r="I66" i="1"/>
  <c r="H66" i="1"/>
  <c r="F66" i="1"/>
  <c r="D66" i="1"/>
  <c r="Y65" i="1"/>
  <c r="V65" i="1"/>
  <c r="W65" i="1" s="1"/>
  <c r="T65" i="1"/>
  <c r="L65" i="1"/>
  <c r="K65" i="1"/>
  <c r="J65" i="1"/>
  <c r="I65" i="1"/>
  <c r="H65" i="1"/>
  <c r="F65" i="1"/>
  <c r="D65" i="1"/>
  <c r="Y64" i="1"/>
  <c r="V64" i="1"/>
  <c r="W64" i="1" s="1"/>
  <c r="T64" i="1"/>
  <c r="L64" i="1"/>
  <c r="K64" i="1"/>
  <c r="J64" i="1"/>
  <c r="I64" i="1"/>
  <c r="H64" i="1"/>
  <c r="F64" i="1"/>
  <c r="D64" i="1"/>
  <c r="Y63" i="1"/>
  <c r="V63" i="1"/>
  <c r="W63" i="1" s="1"/>
  <c r="T63" i="1"/>
  <c r="L63" i="1"/>
  <c r="K63" i="1"/>
  <c r="J63" i="1"/>
  <c r="I63" i="1"/>
  <c r="H63" i="1"/>
  <c r="F63" i="1"/>
  <c r="D63" i="1"/>
  <c r="Y62" i="1"/>
  <c r="V62" i="1"/>
  <c r="W62" i="1" s="1"/>
  <c r="T62" i="1"/>
  <c r="L62" i="1"/>
  <c r="K62" i="1"/>
  <c r="J62" i="1"/>
  <c r="I62" i="1"/>
  <c r="H62" i="1"/>
  <c r="F62" i="1"/>
  <c r="D62" i="1"/>
  <c r="Y61" i="1"/>
  <c r="V61" i="1"/>
  <c r="W61" i="1" s="1"/>
  <c r="T61" i="1"/>
  <c r="L61" i="1"/>
  <c r="K61" i="1"/>
  <c r="J61" i="1"/>
  <c r="I61" i="1"/>
  <c r="H61" i="1"/>
  <c r="F61" i="1"/>
  <c r="D61" i="1"/>
  <c r="Y60" i="1"/>
  <c r="V60" i="1"/>
  <c r="W60" i="1" s="1"/>
  <c r="T60" i="1"/>
  <c r="L60" i="1"/>
  <c r="K60" i="1"/>
  <c r="J60" i="1"/>
  <c r="I60" i="1"/>
  <c r="H60" i="1"/>
  <c r="F60" i="1"/>
  <c r="D60" i="1"/>
  <c r="Y59" i="1"/>
  <c r="V59" i="1"/>
  <c r="W59" i="1" s="1"/>
  <c r="T59" i="1"/>
  <c r="L59" i="1"/>
  <c r="K59" i="1"/>
  <c r="J59" i="1"/>
  <c r="I59" i="1"/>
  <c r="H59" i="1"/>
  <c r="F59" i="1"/>
  <c r="D59" i="1"/>
  <c r="Y58" i="1"/>
  <c r="V58" i="1"/>
  <c r="W58" i="1" s="1"/>
  <c r="T58" i="1"/>
  <c r="L58" i="1"/>
  <c r="K58" i="1"/>
  <c r="J58" i="1"/>
  <c r="I58" i="1"/>
  <c r="H58" i="1"/>
  <c r="F58" i="1"/>
  <c r="D58" i="1"/>
  <c r="Y57" i="1"/>
  <c r="V57" i="1"/>
  <c r="W57" i="1" s="1"/>
  <c r="T57" i="1"/>
  <c r="L57" i="1"/>
  <c r="K57" i="1"/>
  <c r="J57" i="1"/>
  <c r="I57" i="1"/>
  <c r="H57" i="1"/>
  <c r="F57" i="1"/>
  <c r="D57" i="1"/>
  <c r="Y56" i="1"/>
  <c r="V56" i="1"/>
  <c r="W56" i="1" s="1"/>
  <c r="T56" i="1"/>
  <c r="L56" i="1"/>
  <c r="K56" i="1"/>
  <c r="J56" i="1"/>
  <c r="I56" i="1"/>
  <c r="H56" i="1"/>
  <c r="F56" i="1"/>
  <c r="D56" i="1"/>
  <c r="Y55" i="1"/>
  <c r="V55" i="1"/>
  <c r="W55" i="1" s="1"/>
  <c r="T55" i="1"/>
  <c r="L55" i="1"/>
  <c r="K55" i="1"/>
  <c r="J55" i="1"/>
  <c r="I55" i="1"/>
  <c r="H55" i="1"/>
  <c r="F55" i="1"/>
  <c r="D55" i="1"/>
  <c r="Y54" i="1"/>
  <c r="V54" i="1"/>
  <c r="W54" i="1" s="1"/>
  <c r="T54" i="1"/>
  <c r="L54" i="1"/>
  <c r="K54" i="1"/>
  <c r="J54" i="1"/>
  <c r="I54" i="1"/>
  <c r="H54" i="1"/>
  <c r="F54" i="1"/>
  <c r="D54" i="1"/>
  <c r="Y53" i="1"/>
  <c r="V53" i="1"/>
  <c r="W53" i="1" s="1"/>
  <c r="T53" i="1"/>
  <c r="L53" i="1"/>
  <c r="K53" i="1"/>
  <c r="J53" i="1"/>
  <c r="I53" i="1"/>
  <c r="H53" i="1"/>
  <c r="F53" i="1"/>
  <c r="D53" i="1"/>
  <c r="Y52" i="1"/>
  <c r="V52" i="1"/>
  <c r="W52" i="1" s="1"/>
  <c r="T52" i="1"/>
  <c r="L52" i="1"/>
  <c r="K52" i="1"/>
  <c r="J52" i="1"/>
  <c r="I52" i="1"/>
  <c r="H52" i="1"/>
  <c r="F52" i="1"/>
  <c r="D52" i="1"/>
  <c r="Y51" i="1"/>
  <c r="V51" i="1"/>
  <c r="W51" i="1" s="1"/>
  <c r="T51" i="1"/>
  <c r="L51" i="1"/>
  <c r="K51" i="1"/>
  <c r="J51" i="1"/>
  <c r="I51" i="1"/>
  <c r="H51" i="1"/>
  <c r="F51" i="1"/>
  <c r="D51" i="1"/>
  <c r="Y50" i="1"/>
  <c r="V50" i="1"/>
  <c r="W50" i="1" s="1"/>
  <c r="T50" i="1"/>
  <c r="L50" i="1"/>
  <c r="K50" i="1"/>
  <c r="J50" i="1"/>
  <c r="I50" i="1"/>
  <c r="H50" i="1"/>
  <c r="F50" i="1"/>
  <c r="D50" i="1"/>
  <c r="Y49" i="1"/>
  <c r="V49" i="1"/>
  <c r="W49" i="1" s="1"/>
  <c r="T49" i="1"/>
  <c r="L49" i="1"/>
  <c r="K49" i="1"/>
  <c r="J49" i="1"/>
  <c r="I49" i="1"/>
  <c r="H49" i="1"/>
  <c r="F49" i="1"/>
  <c r="D49" i="1"/>
  <c r="Y48" i="1"/>
  <c r="V48" i="1"/>
  <c r="W48" i="1" s="1"/>
  <c r="T48" i="1"/>
  <c r="L48" i="1"/>
  <c r="K48" i="1"/>
  <c r="J48" i="1"/>
  <c r="I48" i="1"/>
  <c r="H48" i="1"/>
  <c r="F48" i="1"/>
  <c r="D48" i="1"/>
  <c r="Y47" i="1"/>
  <c r="V47" i="1"/>
  <c r="W47" i="1" s="1"/>
  <c r="T47" i="1"/>
  <c r="L47" i="1"/>
  <c r="K47" i="1"/>
  <c r="J47" i="1"/>
  <c r="I47" i="1"/>
  <c r="H47" i="1"/>
  <c r="F47" i="1"/>
  <c r="D47" i="1"/>
  <c r="Y46" i="1"/>
  <c r="V46" i="1"/>
  <c r="W46" i="1" s="1"/>
  <c r="T46" i="1"/>
  <c r="L46" i="1"/>
  <c r="K46" i="1"/>
  <c r="J46" i="1"/>
  <c r="I46" i="1"/>
  <c r="H46" i="1"/>
  <c r="F46" i="1"/>
  <c r="D46" i="1"/>
  <c r="Y45" i="1"/>
  <c r="W45" i="1"/>
  <c r="T45" i="1"/>
  <c r="L45" i="1"/>
  <c r="K45" i="1"/>
  <c r="J45" i="1"/>
  <c r="I45" i="1"/>
  <c r="H45" i="1"/>
  <c r="F45" i="1"/>
  <c r="D45" i="1"/>
  <c r="Y44" i="1"/>
  <c r="W44" i="1"/>
  <c r="T44" i="1"/>
  <c r="L44" i="1"/>
  <c r="K44" i="1"/>
  <c r="J44" i="1"/>
  <c r="I44" i="1"/>
  <c r="H44" i="1"/>
  <c r="F44" i="1"/>
  <c r="D44" i="1"/>
  <c r="Y43" i="1"/>
  <c r="V43" i="1"/>
  <c r="W43" i="1" s="1"/>
  <c r="T43" i="1"/>
  <c r="L43" i="1"/>
  <c r="K43" i="1"/>
  <c r="J43" i="1"/>
  <c r="I43" i="1"/>
  <c r="H43" i="1"/>
  <c r="F43" i="1"/>
  <c r="D43" i="1"/>
  <c r="Y42" i="1"/>
  <c r="W42" i="1"/>
  <c r="T42" i="1"/>
  <c r="L42" i="1"/>
  <c r="K42" i="1"/>
  <c r="J42" i="1"/>
  <c r="I42" i="1"/>
  <c r="H42" i="1"/>
  <c r="F42" i="1"/>
  <c r="D42" i="1"/>
  <c r="Y41" i="1"/>
  <c r="W41" i="1"/>
  <c r="T41" i="1"/>
  <c r="L41" i="1"/>
  <c r="K41" i="1"/>
  <c r="J41" i="1"/>
  <c r="I41" i="1"/>
  <c r="H41" i="1"/>
  <c r="F41" i="1"/>
  <c r="D41" i="1"/>
  <c r="Y40" i="1"/>
  <c r="W40" i="1"/>
  <c r="T40" i="1"/>
  <c r="L40" i="1"/>
  <c r="K40" i="1"/>
  <c r="J40" i="1"/>
  <c r="I40" i="1"/>
  <c r="H40" i="1"/>
  <c r="F40" i="1"/>
  <c r="D40" i="1"/>
  <c r="Y39" i="1"/>
  <c r="W39" i="1"/>
  <c r="T39" i="1"/>
  <c r="L39" i="1"/>
  <c r="K39" i="1"/>
  <c r="J39" i="1"/>
  <c r="I39" i="1"/>
  <c r="H39" i="1"/>
  <c r="F39" i="1"/>
  <c r="D39" i="1"/>
  <c r="Y38" i="1"/>
  <c r="W38" i="1"/>
  <c r="T38" i="1"/>
  <c r="L38" i="1"/>
  <c r="K38" i="1"/>
  <c r="J38" i="1"/>
  <c r="I38" i="1"/>
  <c r="H38" i="1"/>
  <c r="F38" i="1"/>
  <c r="D38" i="1"/>
  <c r="Y37" i="1"/>
  <c r="W37" i="1"/>
  <c r="T37" i="1"/>
  <c r="L37" i="1"/>
  <c r="K37" i="1"/>
  <c r="J37" i="1"/>
  <c r="I37" i="1"/>
  <c r="H37" i="1"/>
  <c r="F37" i="1"/>
  <c r="D37" i="1"/>
  <c r="Y36" i="1"/>
  <c r="V36" i="1"/>
  <c r="W36" i="1" s="1"/>
  <c r="T36" i="1"/>
  <c r="L36" i="1"/>
  <c r="K36" i="1"/>
  <c r="J36" i="1"/>
  <c r="I36" i="1"/>
  <c r="H36" i="1"/>
  <c r="F36" i="1"/>
  <c r="D36" i="1"/>
  <c r="Y35" i="1"/>
  <c r="V35" i="1"/>
  <c r="W35" i="1" s="1"/>
  <c r="T35" i="1"/>
  <c r="L35" i="1"/>
  <c r="K35" i="1"/>
  <c r="J35" i="1"/>
  <c r="I35" i="1"/>
  <c r="H35" i="1"/>
  <c r="F35" i="1"/>
  <c r="D35" i="1"/>
  <c r="Y34" i="1"/>
  <c r="V34" i="1"/>
  <c r="W34" i="1" s="1"/>
  <c r="T34" i="1"/>
  <c r="L34" i="1"/>
  <c r="K34" i="1"/>
  <c r="J34" i="1"/>
  <c r="I34" i="1"/>
  <c r="H34" i="1"/>
  <c r="F34" i="1"/>
  <c r="D34" i="1"/>
  <c r="Y33" i="1"/>
  <c r="V33" i="1"/>
  <c r="W33" i="1" s="1"/>
  <c r="T33" i="1"/>
  <c r="L33" i="1"/>
  <c r="K33" i="1"/>
  <c r="J33" i="1"/>
  <c r="I33" i="1"/>
  <c r="H33" i="1"/>
  <c r="F33" i="1"/>
  <c r="D33" i="1"/>
  <c r="Y32" i="1"/>
  <c r="V32" i="1"/>
  <c r="W32" i="1" s="1"/>
  <c r="T32" i="1"/>
  <c r="L32" i="1"/>
  <c r="K32" i="1"/>
  <c r="J32" i="1"/>
  <c r="I32" i="1"/>
  <c r="H32" i="1"/>
  <c r="F32" i="1"/>
  <c r="D32" i="1"/>
  <c r="Y31" i="1"/>
  <c r="V31" i="1"/>
  <c r="W31" i="1" s="1"/>
  <c r="T31" i="1"/>
  <c r="L31" i="1"/>
  <c r="K31" i="1"/>
  <c r="J31" i="1"/>
  <c r="I31" i="1"/>
  <c r="H31" i="1"/>
  <c r="F31" i="1"/>
  <c r="D31" i="1"/>
  <c r="Y30" i="1"/>
  <c r="V30" i="1"/>
  <c r="W30" i="1" s="1"/>
  <c r="T30" i="1"/>
  <c r="L30" i="1"/>
  <c r="K30" i="1"/>
  <c r="J30" i="1"/>
  <c r="I30" i="1"/>
  <c r="H30" i="1"/>
  <c r="F30" i="1"/>
  <c r="D30" i="1"/>
  <c r="Y29" i="1"/>
  <c r="V29" i="1"/>
  <c r="W29" i="1" s="1"/>
  <c r="T29" i="1"/>
  <c r="L29" i="1"/>
  <c r="K29" i="1"/>
  <c r="J29" i="1"/>
  <c r="I29" i="1"/>
  <c r="H29" i="1"/>
  <c r="F29" i="1"/>
  <c r="D29" i="1"/>
  <c r="Y28" i="1"/>
  <c r="V28" i="1"/>
  <c r="W28" i="1" s="1"/>
  <c r="T28" i="1"/>
  <c r="L28" i="1"/>
  <c r="K28" i="1"/>
  <c r="J28" i="1"/>
  <c r="I28" i="1"/>
  <c r="H28" i="1"/>
  <c r="F28" i="1"/>
  <c r="D28" i="1"/>
  <c r="Y27" i="1"/>
  <c r="V27" i="1"/>
  <c r="W27" i="1" s="1"/>
  <c r="T27" i="1"/>
  <c r="L27" i="1"/>
  <c r="K27" i="1"/>
  <c r="J27" i="1"/>
  <c r="I27" i="1"/>
  <c r="H27" i="1"/>
  <c r="F27" i="1"/>
  <c r="D27" i="1"/>
  <c r="Y26" i="1"/>
  <c r="V26" i="1"/>
  <c r="W26" i="1" s="1"/>
  <c r="T26" i="1"/>
  <c r="L26" i="1"/>
  <c r="K26" i="1"/>
  <c r="J26" i="1"/>
  <c r="I26" i="1"/>
  <c r="H26" i="1"/>
  <c r="F26" i="1"/>
  <c r="D26" i="1"/>
  <c r="Y25" i="1"/>
  <c r="V25" i="1"/>
  <c r="W25" i="1" s="1"/>
  <c r="T25" i="1"/>
  <c r="L25" i="1"/>
  <c r="K25" i="1"/>
  <c r="J25" i="1"/>
  <c r="I25" i="1"/>
  <c r="H25" i="1"/>
  <c r="F25" i="1"/>
  <c r="D25" i="1"/>
  <c r="Y24" i="1"/>
  <c r="V24" i="1"/>
  <c r="W24" i="1" s="1"/>
  <c r="T24" i="1"/>
  <c r="L24" i="1"/>
  <c r="K24" i="1"/>
  <c r="J24" i="1"/>
  <c r="I24" i="1"/>
  <c r="H24" i="1"/>
  <c r="F24" i="1"/>
  <c r="D24" i="1"/>
  <c r="T81" i="1" l="1"/>
  <c r="C85" i="1" s="1"/>
  <c r="W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Vendas5</author>
  </authors>
  <commentList>
    <comment ref="U20" authorId="0" shapeId="0" xr:uid="{4C1AA329-E793-4734-AAC3-92A82876B77B}">
      <text>
        <r>
          <rPr>
            <sz val="9"/>
            <color indexed="81"/>
            <rFont val="Segoe UI"/>
            <family val="2"/>
          </rPr>
          <t xml:space="preserve">(PT)Preço total original da Proforma Invoice.
(EN)Original Total Price of Proforma Invoice
</t>
        </r>
      </text>
    </comment>
    <comment ref="U21" authorId="0" shapeId="0" xr:uid="{156B3BC7-5A20-421F-B160-54F2C7B8B47F}">
      <text>
        <r>
          <rPr>
            <sz val="9"/>
            <color indexed="81"/>
            <rFont val="Segoe UI"/>
            <family val="2"/>
          </rPr>
          <t>(PT) Valor total de desconto de qualidade.
(EN) Total quality discount amount.</t>
        </r>
      </text>
    </comment>
  </commentList>
</comments>
</file>

<file path=xl/sharedStrings.xml><?xml version="1.0" encoding="utf-8"?>
<sst xmlns="http://schemas.openxmlformats.org/spreadsheetml/2006/main" count="382" uniqueCount="214">
  <si>
    <t>INVOICE NO.:</t>
  </si>
  <si>
    <t>DATE:</t>
  </si>
  <si>
    <t>PLASNOX REFERENCE:</t>
  </si>
  <si>
    <t>⬇</t>
  </si>
  <si>
    <t>ITEM</t>
  </si>
  <si>
    <t>CODE</t>
  </si>
  <si>
    <t>ORIGIN</t>
  </si>
  <si>
    <t>FULL DESCRIPTION (PT-BR)</t>
  </si>
  <si>
    <t>DESCRIPTION</t>
  </si>
  <si>
    <t>DETAILED DESCRIPTION</t>
  </si>
  <si>
    <t>MATERIAL</t>
  </si>
  <si>
    <t>PRESSURE CLASS</t>
  </si>
  <si>
    <t>SIZE 1-0</t>
  </si>
  <si>
    <t>SIZE 1-1</t>
  </si>
  <si>
    <t>SIZE 2-0</t>
  </si>
  <si>
    <t>SIZE 2-1</t>
  </si>
  <si>
    <t>FULL SIZE</t>
  </si>
  <si>
    <t>CONNECTION TERMINALS</t>
  </si>
  <si>
    <t>CONSTRUCTION / TESTING STANDARDS</t>
  </si>
  <si>
    <t>MANUFACTURING DETAILS</t>
  </si>
  <si>
    <t>UOM</t>
  </si>
  <si>
    <t>NET WEIGHT (Kg)</t>
  </si>
  <si>
    <t>TOTAL NET WEIGHT (Kg)</t>
  </si>
  <si>
    <t>ORIGINAL PRICE UNIT. (USD)</t>
  </si>
  <si>
    <t>PRICE UNIT. (USD)</t>
  </si>
  <si>
    <t>TOTAL PRICE (USD)</t>
  </si>
  <si>
    <t>NCM CODE</t>
  </si>
  <si>
    <t>PRODUCT LINE (PT-BR)</t>
  </si>
  <si>
    <t>HEAT NUMBER</t>
  </si>
  <si>
    <t>TOTAL</t>
  </si>
  <si>
    <t>TOTAL QUANTITY:</t>
  </si>
  <si>
    <t>NOTES BELOW:</t>
  </si>
  <si>
    <t>TOTAL NET WEIGHT:</t>
  </si>
  <si>
    <t>TOTAL GROSS WEIGHT:</t>
  </si>
  <si>
    <t>TOTAL PACKAGE:</t>
  </si>
  <si>
    <t>TOTAL VOLUME:</t>
  </si>
  <si>
    <t>SHIPPING INFORMATION</t>
  </si>
  <si>
    <t>INCOTERMS:</t>
  </si>
  <si>
    <t>FOB</t>
  </si>
  <si>
    <t>LOADING PORT:</t>
  </si>
  <si>
    <t>ORIGIN COUNTRY:</t>
  </si>
  <si>
    <t>ACQUISITON COUNTRY:</t>
  </si>
  <si>
    <t>DISCHARGE PORT:</t>
  </si>
  <si>
    <t>DESTINY COUNTRY:</t>
  </si>
  <si>
    <t>PROCEDENCE COUNTRY:</t>
  </si>
  <si>
    <t>PAYMENT INFORMATION</t>
  </si>
  <si>
    <t xml:space="preserve"> PROFORMA INVOICE</t>
  </si>
  <si>
    <t>MSC2401.1205</t>
  </si>
  <si>
    <t>MSC2401.1206</t>
  </si>
  <si>
    <t>MSC2401.1207</t>
  </si>
  <si>
    <t>MSC2401.1208</t>
  </si>
  <si>
    <t>MSC2401.1209</t>
  </si>
  <si>
    <t>MSC2401.1210</t>
  </si>
  <si>
    <t>MSC2401.1211</t>
  </si>
  <si>
    <t>MSC2401.1411</t>
  </si>
  <si>
    <t>MSC2401.1212</t>
  </si>
  <si>
    <t>MSC2401.1412</t>
  </si>
  <si>
    <t>MSC2401.1413</t>
  </si>
  <si>
    <t>MSC2401.1414</t>
  </si>
  <si>
    <t>MSC2401.1406</t>
  </si>
  <si>
    <t>MSC2401.1408</t>
  </si>
  <si>
    <t>MSC2401.1409</t>
  </si>
  <si>
    <t>MSC2401.3406</t>
  </si>
  <si>
    <t>MSC2401.3408</t>
  </si>
  <si>
    <t>MSC2401.3409</t>
  </si>
  <si>
    <t>MSC2401.3205</t>
  </si>
  <si>
    <t>MSC2401.3206</t>
  </si>
  <si>
    <t>MSC2401.3208</t>
  </si>
  <si>
    <t>MSC2401.3209</t>
  </si>
  <si>
    <t>MSC2401.3210</t>
  </si>
  <si>
    <t>MSC2401.3411</t>
  </si>
  <si>
    <t>MSC2401.3412</t>
  </si>
  <si>
    <t>MSC2401.3414</t>
  </si>
  <si>
    <t>MSC2401.3306</t>
  </si>
  <si>
    <t>MSC2401.3308</t>
  </si>
  <si>
    <t>MSC2401.3309</t>
  </si>
  <si>
    <t>MSC2405.1105</t>
  </si>
  <si>
    <t>MSC2405.1106</t>
  </si>
  <si>
    <t>MSC2405.1111</t>
  </si>
  <si>
    <t>MSC2405.1201</t>
  </si>
  <si>
    <t>MSC2405.1202</t>
  </si>
  <si>
    <t>MSC2405.1205</t>
  </si>
  <si>
    <t>MSC2405.1206</t>
  </si>
  <si>
    <t>MSC2405.1211</t>
  </si>
  <si>
    <t>MSC2405.1216</t>
  </si>
  <si>
    <t>MSC2405.1220</t>
  </si>
  <si>
    <t>MSC2405.1416</t>
  </si>
  <si>
    <t>MSC2405.1420</t>
  </si>
  <si>
    <t>MSC2405.1212</t>
  </si>
  <si>
    <t>MSC2404.1203</t>
  </si>
  <si>
    <t>MSC2404.1205</t>
  </si>
  <si>
    <t>MSC2404.1207</t>
  </si>
  <si>
    <t>MSC2404.1208</t>
  </si>
  <si>
    <t>MSC2404.1407</t>
  </si>
  <si>
    <t>MSC2404.1103</t>
  </si>
  <si>
    <t>MSC2404.1105</t>
  </si>
  <si>
    <t>MSC2404.1107</t>
  </si>
  <si>
    <t>MSC2404.1108</t>
  </si>
  <si>
    <t>MSC2404.1412</t>
  </si>
  <si>
    <t>MSC2404.1209</t>
  </si>
  <si>
    <t>MSC2404.1408</t>
  </si>
  <si>
    <t>MSC2404.1409</t>
  </si>
  <si>
    <t>MSC2404.1411</t>
  </si>
  <si>
    <t>TUBE ROUND WELDED ANNEALING/ASTM A270 SANITARY STAINLESS/SURFACE FINISH POLISHED OUTSIDE600 GRIT, INSIDE400 GRIT(Ra＜0.8μm) WITH MIRROR OUTSIDE</t>
  </si>
  <si>
    <t>RECTANGULAR TUBE / ASTM A554 / OUTSIDE POLISHED 600 GRIT  / THICKNESS 1.2MM x LENGTH 6000MM</t>
  </si>
  <si>
    <t>RECTANGULAR TUBE / ASTM A554 / OUTSIDE POLISHED 600 GRIT  / THICKNESS 1.5MM x LENGTH 6000MM</t>
  </si>
  <si>
    <t>RECTANGULAR TUBE / ASTM A554 / OUTSIDE POLISHED 600 GRIT  / THICKNESS 2.0MM x LENGTH 6000MM</t>
  </si>
  <si>
    <t>SQUARE TUBE / ASTM A554 / OUTSIDE POLISHED 600 GRIT  / THICKNESS 1.5MM x LENGTH 6000MM</t>
  </si>
  <si>
    <t>SQUARE TUBE / ASTM A554 / OUTSIDE POLISHED 600 GRIT  / THICKNESS 2.0MM x LENGTH 6000MM</t>
  </si>
  <si>
    <t>SQUARE TUBE / ASTM A554 / OUTSIDE POLISHED 600 GRIT / THICKNESS 1.2MM x LENGTH 6000MM</t>
  </si>
  <si>
    <t>SQUARE TUBE / ASTM A554 / OUTSIDE POLISHED 600 GRIT / THICKNESS 1.5MM x LENGTH 6000MM</t>
  </si>
  <si>
    <t>SQUARE TUBE / ASTM A554 / OUTSIDE POLISHED 600 GRIT / THICKNESS 2.0MM x LENGTH 6000MM</t>
  </si>
  <si>
    <t>SQUARE TUBE / ASTM A554 / OUTSIDE POLISHED 600 GRIT / THICKNESS 2.MM x LENGTH 6000MM</t>
  </si>
  <si>
    <t>SQUARE TUBE / ASTM A554 / OUTSIDE POLISHED 600 GRIT / THICKNESS 3.0MM x LENGTH 6000MM</t>
  </si>
  <si>
    <t>316L</t>
  </si>
  <si>
    <t>OD019,05 (3/4P) x 1,5MMx 6METERS</t>
  </si>
  <si>
    <t>OD025,40 (1P) x 1,5MMx 6METERS</t>
  </si>
  <si>
    <t>OD031,75 (1.1/4P) x 1,5MMx 6METERS</t>
  </si>
  <si>
    <t>OD038,10 (1.1/2P) x 1,5MMx 6METERS</t>
  </si>
  <si>
    <t>OD050,80 (2P) x 1,5MMx 6METERS</t>
  </si>
  <si>
    <t>OD063,50 (2.1/2P) x 1,5MMx 6METERS</t>
  </si>
  <si>
    <t>OD076,20 (3P) x 1,5MMx 6METERS</t>
  </si>
  <si>
    <t>OD076,20 (3P) x 2,0MMx 6METERS</t>
  </si>
  <si>
    <t>OD101,60 (4P) x 1,5MMx 6METERS</t>
  </si>
  <si>
    <t>OD101,60 (4P) x 2,0MMx 6METERS</t>
  </si>
  <si>
    <t>OD127,00 (5P) x 2,0MMx 6METERS</t>
  </si>
  <si>
    <t>OD152,40 (6P) x 2,0MMx 6METERS</t>
  </si>
  <si>
    <t>OD025,40 (1P) x 2,0MM</t>
  </si>
  <si>
    <t>OD038,10 (1.1/2P) x 2,0MM</t>
  </si>
  <si>
    <t>OD050,80 (2P) x 2,0MM</t>
  </si>
  <si>
    <t>OD025,40 (1P) x 1,65MMx 6METERS</t>
  </si>
  <si>
    <t>OD038,10 (1.1/2P) x 1,65MMx 6METERS</t>
  </si>
  <si>
    <t>OD050,80 (2P) x 1,65MMx 6METERS</t>
  </si>
  <si>
    <t>020X040 x 1,2MM</t>
  </si>
  <si>
    <t>020X050 x 1,2MM</t>
  </si>
  <si>
    <t>030X050 x 1,2MM</t>
  </si>
  <si>
    <t>010X020 x 1,5MM</t>
  </si>
  <si>
    <t>010X030 x 1,5MM</t>
  </si>
  <si>
    <t>020X040 x 1,5MM</t>
  </si>
  <si>
    <t>020X050 x 1,5MM</t>
  </si>
  <si>
    <t>030X050 x 1,5MM</t>
  </si>
  <si>
    <t>040X060 x 1,5MM</t>
  </si>
  <si>
    <t>050X100 x 1,5MM</t>
  </si>
  <si>
    <t>040X060 x 2,0MM</t>
  </si>
  <si>
    <t>050X100 x 2,0MM</t>
  </si>
  <si>
    <t>030x060 x 1,5MM</t>
  </si>
  <si>
    <t xml:space="preserve">020X020 x 1,5MM </t>
  </si>
  <si>
    <t xml:space="preserve">030X030 x 1,5MM </t>
  </si>
  <si>
    <t xml:space="preserve">040X040 x 1,5MM </t>
  </si>
  <si>
    <t>050X050 x 1,5MM</t>
  </si>
  <si>
    <t xml:space="preserve">040X040 x 2,0MM </t>
  </si>
  <si>
    <t xml:space="preserve">020X020 x 1,2MM </t>
  </si>
  <si>
    <t xml:space="preserve">030X030 x 1,2MM </t>
  </si>
  <si>
    <t xml:space="preserve">040X040 x 1,2MM </t>
  </si>
  <si>
    <t>050X050 x 1,2MM</t>
  </si>
  <si>
    <t>100X100 x 2,0MM</t>
  </si>
  <si>
    <t>060X060 x 1,5MM</t>
  </si>
  <si>
    <t>050X050 x 2,0MM</t>
  </si>
  <si>
    <t>060X060 x 2,0MM</t>
  </si>
  <si>
    <t>080X080 x 2,0MM</t>
  </si>
  <si>
    <t>M</t>
  </si>
  <si>
    <t>QUANTITY / M</t>
  </si>
  <si>
    <t>MAYSKY TRADING CO., LIMITED</t>
  </si>
  <si>
    <t>NO.1102, 11F, Building Lingnan. North of Lingnan Avenue,Chancheng District.Foshan City.China</t>
  </si>
  <si>
    <t>Tel:+86-757-63838585       Fax:+86-757-88030830         www.mayskyss.com</t>
  </si>
  <si>
    <r>
      <rPr>
        <b/>
        <u/>
        <sz val="12"/>
        <color theme="1"/>
        <rFont val="Aptos Narrow"/>
        <family val="2"/>
        <scheme val="minor"/>
      </rPr>
      <t>IMPORTER</t>
    </r>
    <r>
      <rPr>
        <b/>
        <sz val="12"/>
        <color theme="1"/>
        <rFont val="Aptos Narrow"/>
        <family val="2"/>
        <scheme val="minor"/>
      </rPr>
      <t>/BUYER: PLASNOX IND. E COM. DE IMPORTAÇÕES LTDA</t>
    </r>
  </si>
  <si>
    <t>Rua Bonifácio Haendchen, 755 - Belchior Central, Gaspar - SC, 89110-975 - BRAZIL
79.925.442/0001-07 - Inscrição estadual: 251.465.888
PHONE: +5547-33316700</t>
  </si>
  <si>
    <t>ADD.: NO.1102, 11F, BUILDING LINGNAN. NORTH OF LINGNAN AVENUE,CHANCHENG DISTRICT.FOSHAN CITY.CHINA
TEL.: TEL:+86-757-63838585   |    FAX:+86-757-88030830    |     WWW.MAYSKYSS.COM</t>
  </si>
  <si>
    <t>SAY US DOLLARS THREE HUNDRED TEN THOUSAND FIVE HUNDRED SEVENTY-SIX AND TWENTY CENTS ONLY.</t>
  </si>
  <si>
    <t>Please be attention this price is only valid ONE working day</t>
  </si>
  <si>
    <t xml:space="preserve">1.Payment Terms:  </t>
  </si>
  <si>
    <t>20% deposit  and 80% balance paid 15 days before arriving in Brazilian Porto, FOB China</t>
  </si>
  <si>
    <t>2.PI VALIDITY TIME:</t>
  </si>
  <si>
    <t>THE DEPOSITE SHOULD BE PAID WITHIN 7 DAYS AFTER PI DATE, OR SUPPLIER HAVE RIGHT TO CANCEL THE ORDER</t>
  </si>
  <si>
    <t>30-35 days since the date of receipt of deposit</t>
  </si>
  <si>
    <t xml:space="preserve">4.Packing:                  </t>
  </si>
  <si>
    <t>Thickness: ±10%, quantity:±10%, others as per ASTM-A270 standard.</t>
  </si>
  <si>
    <t>6.CLAIM VALIDITY:</t>
  </si>
  <si>
    <t>IN CASE OF ANY CLAIM, IT SHOULD BE RAISED WITHIN ONE MONTH UPON RECEIVED MATERIAL.</t>
  </si>
  <si>
    <r>
      <t>3.Delivery time</t>
    </r>
    <r>
      <rPr>
        <sz val="9"/>
        <rFont val="Calibri"/>
        <family val="2"/>
      </rPr>
      <t xml:space="preserve">:        </t>
    </r>
  </si>
  <si>
    <r>
      <t>Each tube in normal PVC bag,2 short ropes around each bundle</t>
    </r>
    <r>
      <rPr>
        <sz val="9"/>
        <rFont val="宋体"/>
        <charset val="134"/>
      </rPr>
      <t>；</t>
    </r>
  </si>
  <si>
    <r>
      <t>5.Tolerance:</t>
    </r>
    <r>
      <rPr>
        <sz val="9"/>
        <rFont val="Calibri"/>
        <family val="2"/>
      </rPr>
      <t xml:space="preserve">          </t>
    </r>
  </si>
  <si>
    <t>Bank Account :</t>
  </si>
  <si>
    <t>BENEFICIARY’S NAME:  MAYSKY TRADING CO., LIMITED</t>
  </si>
  <si>
    <t>BENEFICIARY'S ADDRESS: NO.1102, 11F, Building Lingnan. North of Lingnan Avenue,Chancheng District.Foshan City.China</t>
  </si>
  <si>
    <t xml:space="preserve">BENEFICIARY BANK :  PING AN BANK CO., LTD.  </t>
  </si>
  <si>
    <t xml:space="preserve">BENEFICIARY BANK ADDRESS: 11/F, NO 5047 ROAD SHENNAN DONG,SHENZHEN P.R.CHINA  </t>
  </si>
  <si>
    <t xml:space="preserve">SWIFT ADDRESS:  SZDBCNBS  </t>
  </si>
  <si>
    <t xml:space="preserve">A/C NO: 110-1457-8040-006  </t>
  </si>
  <si>
    <t>MSY20260603LB02</t>
  </si>
  <si>
    <r>
      <t>MANUFACTURER:</t>
    </r>
    <r>
      <rPr>
        <b/>
        <sz val="12"/>
        <color theme="1"/>
        <rFont val="Aptos Narrow"/>
        <family val="2"/>
        <scheme val="minor"/>
      </rPr>
      <t xml:space="preserve"> MAYSKY STAINLESS STEEL CO.,LIMITED</t>
    </r>
  </si>
  <si>
    <t>OD012.7 (1/2P) x 1,5MMx 6METERS</t>
  </si>
  <si>
    <t>MSC2408.1204</t>
  </si>
  <si>
    <t>TUBE ROUND WELDED ANNEALING/ASTM A249 SANITARY STAINLESS/SURFACE FINISH POLISHED OUTSIDE600 GRIT, WITH MIRROR OUTSIDE</t>
  </si>
  <si>
    <t>PLA064-26</t>
  </si>
  <si>
    <t>ML064261</t>
  </si>
  <si>
    <t>ML064262</t>
  </si>
  <si>
    <t>ML064263</t>
  </si>
  <si>
    <t>ML064264</t>
  </si>
  <si>
    <t>ML064266</t>
  </si>
  <si>
    <t>ML064267</t>
  </si>
  <si>
    <t>ML064268</t>
  </si>
  <si>
    <t>ML064269</t>
  </si>
  <si>
    <t>ML0642610</t>
  </si>
  <si>
    <t>ML0642611</t>
  </si>
  <si>
    <t>ML0642612</t>
  </si>
  <si>
    <t>ML0642613</t>
  </si>
  <si>
    <t>ML0642615</t>
  </si>
  <si>
    <t>ML0642616</t>
  </si>
  <si>
    <t>ML0642617</t>
  </si>
  <si>
    <t>ML0642618</t>
  </si>
  <si>
    <t>ML0642619</t>
  </si>
  <si>
    <t>ML0642620</t>
  </si>
  <si>
    <t>ML0642621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</si>
</sst>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$-409]* #,##0.00_ ;_-[$$-409]* \-#,##0.00\ ;_-[$$-409]* &quot;-&quot;??_ ;_-@_ "/>
    <numFmt numFmtId="165" formatCode="0.000"/>
    <numFmt numFmtId="166" formatCode="0.00_ "/>
    <numFmt numFmtId="167" formatCode="0.00_);[Red]\(0.00\)"/>
    <numFmt numFmtId="168" formatCode="0_ "/>
    <numFmt numFmtId="169" formatCode="&quot;US$&quot;#,##0.00;\-&quot;US$&quot;#,##0.00"/>
  </numFmts>
  <fonts count="2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2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165" fontId="13" fillId="0" borderId="6" xfId="0" applyNumberFormat="1" applyFont="1" applyBorder="1" applyAlignment="1">
      <alignment horizontal="center" vertical="center"/>
    </xf>
    <xf numFmtId="165" fontId="12" fillId="0" borderId="7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12" fillId="0" borderId="10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165" fontId="15" fillId="0" borderId="4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66" fontId="18" fillId="0" borderId="0" xfId="0" applyNumberFormat="1" applyFont="1" applyAlignment="1">
      <alignment vertical="center"/>
    </xf>
    <xf numFmtId="167" fontId="18" fillId="0" borderId="24" xfId="0" applyNumberFormat="1" applyFont="1" applyBorder="1" applyAlignment="1">
      <alignment vertical="center"/>
    </xf>
    <xf numFmtId="167" fontId="18" fillId="0" borderId="0" xfId="0" applyNumberFormat="1" applyFont="1" applyAlignment="1">
      <alignment vertical="center"/>
    </xf>
    <xf numFmtId="167" fontId="18" fillId="0" borderId="24" xfId="0" applyNumberFormat="1" applyFont="1" applyBorder="1" applyAlignment="1">
      <alignment horizontal="left" vertical="center"/>
    </xf>
    <xf numFmtId="167" fontId="18" fillId="0" borderId="0" xfId="0" applyNumberFormat="1" applyFont="1" applyAlignment="1">
      <alignment horizontal="left" vertical="center"/>
    </xf>
    <xf numFmtId="167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 wrapText="1" readingOrder="1"/>
    </xf>
    <xf numFmtId="166" fontId="19" fillId="0" borderId="0" xfId="0" applyNumberFormat="1" applyFont="1" applyAlignment="1">
      <alignment horizontal="left" vertical="center" wrapText="1" readingOrder="1"/>
    </xf>
    <xf numFmtId="0" fontId="19" fillId="0" borderId="0" xfId="0" applyFont="1" applyAlignment="1">
      <alignment horizontal="left" vertical="center" wrapText="1" readingOrder="1"/>
    </xf>
    <xf numFmtId="168" fontId="19" fillId="0" borderId="0" xfId="0" applyNumberFormat="1" applyFont="1" applyAlignment="1">
      <alignment horizontal="left" vertical="center" wrapText="1" readingOrder="1"/>
    </xf>
    <xf numFmtId="169" fontId="19" fillId="0" borderId="0" xfId="0" applyNumberFormat="1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 wrapText="1" readingOrder="1"/>
    </xf>
    <xf numFmtId="166" fontId="19" fillId="0" borderId="0" xfId="0" applyNumberFormat="1" applyFont="1" applyAlignment="1">
      <alignment vertical="center" wrapText="1" readingOrder="1"/>
    </xf>
    <xf numFmtId="0" fontId="13" fillId="3" borderId="25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center" vertical="center"/>
    </xf>
    <xf numFmtId="165" fontId="13" fillId="3" borderId="25" xfId="0" applyNumberFormat="1" applyFont="1" applyFill="1" applyBorder="1" applyAlignment="1">
      <alignment horizontal="center" vertical="center"/>
    </xf>
    <xf numFmtId="165" fontId="12" fillId="3" borderId="9" xfId="0" applyNumberFormat="1" applyFont="1" applyFill="1" applyBorder="1" applyAlignment="1">
      <alignment horizontal="center" vertical="center"/>
    </xf>
    <xf numFmtId="164" fontId="13" fillId="3" borderId="25" xfId="0" applyNumberFormat="1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164" fontId="12" fillId="3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2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 wrapText="1"/>
    </xf>
    <xf numFmtId="165" fontId="5" fillId="0" borderId="0" xfId="0" applyNumberFormat="1" applyFont="1" applyAlignment="1">
      <alignment horizontal="left" vertical="center"/>
    </xf>
    <xf numFmtId="165" fontId="5" fillId="0" borderId="14" xfId="0" applyNumberFormat="1" applyFont="1" applyBorder="1" applyAlignment="1">
      <alignment horizontal="left" vertical="center"/>
    </xf>
    <xf numFmtId="0" fontId="8" fillId="0" borderId="15" xfId="0" applyFont="1" applyBorder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0" fontId="8" fillId="0" borderId="18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19" xfId="0" applyFont="1" applyBorder="1" applyAlignment="1">
      <alignment horizontal="left" vertical="top"/>
    </xf>
    <xf numFmtId="0" fontId="8" fillId="0" borderId="20" xfId="0" applyFont="1" applyBorder="1" applyAlignment="1">
      <alignment horizontal="left" vertical="top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8" fillId="0" borderId="0" xfId="0" applyFont="1" applyAlignment="1">
      <alignment horizontal="left" vertical="top" wrapText="1"/>
    </xf>
    <xf numFmtId="1" fontId="5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61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rgb="FFFF0000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95250</xdr:rowOff>
    </xdr:from>
    <xdr:to>
      <xdr:col>4</xdr:col>
      <xdr:colOff>1428750</xdr:colOff>
      <xdr:row>5</xdr:row>
      <xdr:rowOff>79977</xdr:rowOff>
    </xdr:to>
    <xdr:pic>
      <xdr:nvPicPr>
        <xdr:cNvPr id="2" name="图片 1" descr="maysky 图标带R">
          <a:extLst>
            <a:ext uri="{FF2B5EF4-FFF2-40B4-BE49-F238E27FC236}">
              <a16:creationId xmlns:a16="http://schemas.microsoft.com/office/drawing/2014/main" id="{C566D477-4746-49F5-B3F1-6D28F431B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38125"/>
          <a:ext cx="2238375" cy="8610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Importacao\Operacional\2.%20Processos%20de%20Importac&#227;o\2.%20Pedidos\1.%20Pedidos%20Abertos\2026\PLA000-00%20(Q0000-00)%20-%20MAYSKY\3.%20Documentos%20Finais\RPLA000-00%20CI%20AND%20PL.xlsx" TargetMode="External"/><Relationship Id="rId1" Type="http://schemas.openxmlformats.org/officeDocument/2006/relationships/externalLinkPath" Target="3.%20Documentos%20Finais/RPLA000-00%20CI%20AND%20P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Packing List"/>
      <sheetName val="Item x Qty"/>
      <sheetName val="Case x Weight"/>
      <sheetName val="Banco_Itens"/>
      <sheetName val="RPLA000-00 CI AND PL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5F268-7D26-4992-834A-08CCF5FED518}" name="Banco_Invoice" displayName="Banco_Invoice" ref="A23:Z81" totalsRowCount="1" headerRowDxfId="60" dataDxfId="58" totalsRowDxfId="56" headerRowBorderDxfId="59" tableBorderDxfId="57" totalsRowBorderDxfId="55">
  <tableColumns count="26">
    <tableColumn id="1" xr3:uid="{6F37DA51-882C-4C3A-84BE-3B9246EDBE3B}" name="ITEM" dataDxfId="54" totalsRowDxfId="53">
      <calculatedColumnFormula>ROW()-ROW(Banco_Invoice[[#Headers],[ITEM]])</calculatedColumnFormula>
    </tableColumn>
    <tableColumn id="2" xr3:uid="{05520638-E42A-458C-914B-88457712B7EF}" name="CODE" totalsRowLabel="TOTAL" dataDxfId="52" totalsRowDxfId="51"/>
    <tableColumn id="3" xr3:uid="{23A3C43B-A69E-4359-AEEA-E91EB2844594}" name="ORIGIN" dataDxfId="50" totalsRowDxfId="49"/>
    <tableColumn id="4" xr3:uid="{4AD91984-7EE2-4A66-B0AA-054C9478510F}" name="FULL DESCRIPTION (PT-BR)" dataDxfId="48" totalsRowDxfId="47">
      <calculatedColumnFormula>IF(_xlfn.XLOOKUP(Banco_Invoice[[#This Row],[CODE]],[1]!Banco_Itens[ID_ITEM],[1]!Banco_Itens[DESCRIÇÃO],"NÃO ENCONTRADO!",0,1)="","⚠",_xlfn.XLOOKUP(Banco_Invoice[[#This Row],[CODE]],[1]!Banco_Itens[ID_ITEM],[1]!Banco_Itens[DESCRIÇÃO],"NÃO ENCONTRADO!",0,1))</calculatedColumnFormula>
    </tableColumn>
    <tableColumn id="5" xr3:uid="{B142F320-10EE-4493-BD30-34AE1CE63A51}" name="DESCRIPTION" dataDxfId="46" totalsRowDxfId="45"/>
    <tableColumn id="6" xr3:uid="{3336F90C-163B-48E0-974B-ACB9DD63A0D0}" name="DETAILED DESCRIPTION" dataDxfId="44" totalsRowDxfId="43">
      <calculatedColumnFormula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calculatedColumnFormula>
    </tableColumn>
    <tableColumn id="7" xr3:uid="{073E0A8F-6989-4195-B90F-B36CF0E64BAC}" name="MATERIAL" dataDxfId="42" totalsRowDxfId="41">
      <calculatedColumnFormula>IF(_xlfn.XLOOKUP(Banco_Invoice[[#This Row],[CODE]],[1]!Banco_Itens[ID_ITEM],[1]!Banco_Itens[MATERIAL STANDARD],"NO CODE!",0,1)="","⚠",_xlfn.XLOOKUP(Banco_Invoice[[#This Row],[CODE]],[1]!Banco_Itens[ID_ITEM],[1]!Banco_Itens[MATERIAL STANDARD],"NO CODE!",0,1))</calculatedColumnFormula>
    </tableColumn>
    <tableColumn id="8" xr3:uid="{8CB61333-8570-42FA-A612-550DB4AE6AF9}" name="PRESSURE CLASS" dataDxfId="40" totalsRowDxfId="39">
      <calculatedColumnFormula>IF(_xlfn.XLOOKUP(Banco_Invoice[[#This Row],[CODE]],[1]!Banco_Itens[ID_ITEM],[1]!Banco_Itens[PRESSURE CLASS],"NO CODE!",0,1)="","⚠",_xlfn.XLOOKUP(Banco_Invoice[[#This Row],[CODE]],[1]!Banco_Itens[ID_ITEM],[1]!Banco_Itens[PRESSURE CLASS],"NO CODE!",0,1))</calculatedColumnFormula>
    </tableColumn>
    <tableColumn id="9" xr3:uid="{32B66F68-4953-402C-9506-62E26BE7E6EF}" name="SIZE 1-0" dataDxfId="38" totalsRowDxfId="37">
      <calculatedColumnFormula>IF(_xlfn.XLOOKUP(Banco_Invoice[[#This Row],[CODE]],[1]!Banco_Itens[ID_ITEM],[1]!Banco_Itens[SIZE 1-0],"NO CODE!",0,1)="","⚠",_xlfn.XLOOKUP(Banco_Invoice[[#This Row],[CODE]],[1]!Banco_Itens[ID_ITEM],[1]!Banco_Itens[SIZE 1-0],"NO CODE!",0,1))</calculatedColumnFormula>
    </tableColumn>
    <tableColumn id="10" xr3:uid="{4AE6407B-AC93-41E9-9456-9C2474DEE39F}" name="SIZE 1-1" dataDxfId="36" totalsRowDxfId="35">
      <calculatedColumnFormula>IF(_xlfn.XLOOKUP(Banco_Invoice[[#This Row],[CODE]],[1]!Banco_Itens[ID_ITEM],[1]!Banco_Itens[SIZE 1-1],"NO CODE!",0,1)="","⚠",_xlfn.XLOOKUP(Banco_Invoice[[#This Row],[CODE]],[1]!Banco_Itens[ID_ITEM],[1]!Banco_Itens[SIZE 1-1],"NO CODE!",0,1))</calculatedColumnFormula>
    </tableColumn>
    <tableColumn id="11" xr3:uid="{EA154E9A-AE14-4DA3-9030-D0757F8918E6}" name="SIZE 2-0" dataDxfId="34" totalsRowDxfId="33">
      <calculatedColumnFormula>IF(_xlfn.XLOOKUP(Banco_Invoice[[#This Row],[CODE]],[1]!Banco_Itens[ID_ITEM],[1]!Banco_Itens[SIZE 2-0],"NO CODE!",0,1)="","⚠",_xlfn.XLOOKUP(Banco_Invoice[[#This Row],[CODE]],[1]!Banco_Itens[ID_ITEM],[1]!Banco_Itens[SIZE 2-0],"NO CODE!",0,1))</calculatedColumnFormula>
    </tableColumn>
    <tableColumn id="12" xr3:uid="{2C146BE0-7AB5-43BA-A473-59C43681DF6F}" name="SIZE 2-1" dataDxfId="32" totalsRowDxfId="31">
      <calculatedColumnFormula>IF(_xlfn.XLOOKUP(Banco_Invoice[[#This Row],[CODE]],[1]!Banco_Itens[ID_ITEM],[1]!Banco_Itens[SIZE 2-1],"NO CODE!",0,1)="","⚠",_xlfn.XLOOKUP(Banco_Invoice[[#This Row],[CODE]],[1]!Banco_Itens[ID_ITEM],[1]!Banco_Itens[SIZE 2-1],"NO CODE!",0,1))</calculatedColumnFormula>
    </tableColumn>
    <tableColumn id="13" xr3:uid="{0CEFEF70-660A-40BD-85E9-1E34551ECAD8}" name="FULL SIZE" dataDxfId="30" totalsRowDxfId="29">
      <calculatedColumnFormula>IF(_xlfn.XLOOKUP(Banco_Invoice[[#This Row],[CODE]],[1]!Banco_Itens[ID_ITEM],[1]!Banco_Itens[FULL SIZE],"NO CODE!",0,1)="","⚠",_xlfn.XLOOKUP(Banco_Invoice[[#This Row],[CODE]],[1]!Banco_Itens[ID_ITEM],[1]!Banco_Itens[FULL SIZE],"NO CODE!",0,1))</calculatedColumnFormula>
    </tableColumn>
    <tableColumn id="14" xr3:uid="{3A61A9D6-884F-40ED-BFAE-D5F6136E66DE}" name="CONNECTION TERMINALS" dataDxfId="28" totalsRowDxfId="27">
      <calculatedColumnFormula>IF(_xlfn.XLOOKUP(Banco_Invoice[[#This Row],[CODE]],[1]!Banco_Itens[ID_ITEM],[1]!Banco_Itens[CONNECTION TERMINAL],"NO CODE!",0,1)="","⚠",_xlfn.XLOOKUP(Banco_Invoice[[#This Row],[CODE]],[1]!Banco_Itens[ID_ITEM],[1]!Banco_Itens[CONNECTION TERMINAL],"NO CODE!",0,1))</calculatedColumnFormula>
    </tableColumn>
    <tableColumn id="25" xr3:uid="{1E5F4ABE-80DD-46FF-9120-71B084130264}" name="CONSTRUCTION / TESTING STANDARDS" dataDxfId="26" totalsRowDxfId="25">
      <calculatedColumnFormula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calculatedColumnFormula>
    </tableColumn>
    <tableColumn id="15" xr3:uid="{6F87E9F6-F7C8-42DD-96D5-6255A7E6F11E}" name="MANUFACTURING DETAILS" dataDxfId="24" totalsRowDxfId="23">
      <calculatedColumnFormula>IF(_xlfn.XLOOKUP(Banco_Invoice[[#This Row],[CODE]],[1]!Banco_Itens[ID_ITEM],[1]!Banco_Itens[MANUFACTURING DETAILS],"NO CODE!",0,1)="","⚠",_xlfn.XLOOKUP(Banco_Invoice[[#This Row],[CODE]],[1]!Banco_Itens[ID_ITEM],[1]!Banco_Itens[MANUFACTURING DETAILS],"NO CODE!",0,1))</calculatedColumnFormula>
    </tableColumn>
    <tableColumn id="16" xr3:uid="{A7D103DB-C4EE-444A-96AB-95BA875AC108}" name="UOM" dataDxfId="22" totalsRowDxfId="21"/>
    <tableColumn id="17" xr3:uid="{D97F0531-49ED-41E4-8A51-40B9E5515B59}" name="QUANTITY / M" totalsRowFunction="sum" dataDxfId="20" totalsRowDxfId="19"/>
    <tableColumn id="19" xr3:uid="{239742BC-0CB3-4B52-A617-5E9989DD6CBB}" name="NET WEIGHT (Kg)" dataDxfId="18" totalsRowDxfId="17"/>
    <tableColumn id="26" xr3:uid="{D2289EB2-AC5B-40B0-9759-E875D066B0DE}" name="TOTAL NET WEIGHT (Kg)" totalsRowFunction="sum" dataDxfId="16" totalsRowDxfId="15">
      <calculatedColumnFormula>Banco_Invoice[[#This Row],[NET WEIGHT (Kg)]]*Banco_Invoice[[#This Row],[QUANTITY / M]]</calculatedColumnFormula>
    </tableColumn>
    <tableColumn id="18" xr3:uid="{54780196-B975-4EE5-9A4F-7133FC6ACA64}" name="ORIGINAL PRICE UNIT. (USD)" dataDxfId="14" totalsRowDxfId="13"/>
    <tableColumn id="20" xr3:uid="{B1C0EE8A-DF31-45FD-8044-9266530376C4}" name="PRICE UNIT. (USD)" dataDxfId="12" totalsRowDxfId="11">
      <calculatedColumnFormula>IF(AND($U$20&gt;0,$U$21&gt;0),Banco_Invoice[[#This Row],[ORIGINAL PRICE UNIT. (USD)]]*(($U$20-$U$21)/$U$20),Banco_Invoice[[#This Row],[ORIGINAL PRICE UNIT. (USD)]])</calculatedColumnFormula>
    </tableColumn>
    <tableColumn id="21" xr3:uid="{9BA78049-80C8-4222-AAA8-E5AFB124E13E}" name="TOTAL PRICE (USD)" totalsRowFunction="sum" dataDxfId="10" totalsRowDxfId="9">
      <calculatedColumnFormula>Banco_Invoice[[#This Row],[PRICE UNIT. (USD)]]*Banco_Invoice[[#This Row],[QUANTITY / M]]</calculatedColumnFormula>
    </tableColumn>
    <tableColumn id="22" xr3:uid="{6A2B2BDD-0F5F-4345-99FF-6BFB973150F6}" name="NCM CODE" dataDxfId="8" totalsRowDxfId="7">
      <calculatedColumnFormula>IF(_xlfn.XLOOKUP(Banco_Invoice[[#This Row],[CODE]],[1]!Banco_Itens[ID_ITEM],[1]!Banco_Itens[NCM],"NO CODE!",0,1)="","⚠",_xlfn.XLOOKUP(Banco_Invoice[[#This Row],[CODE]],[1]!Banco_Itens[ID_ITEM],[1]!Banco_Itens[NCM],"NO CODE!",0,1))</calculatedColumnFormula>
    </tableColumn>
    <tableColumn id="23" xr3:uid="{A98126FC-59E8-4B36-ADCC-EDC044A2BE26}" name="PRODUCT LINE (PT-BR)" dataDxfId="6" totalsRowDxfId="5">
      <calculatedColumnFormula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calculatedColumnFormula>
    </tableColumn>
    <tableColumn id="24" xr3:uid="{81A0CE45-F285-411C-8FF0-FB1E521EDFBC}" name="HEAT NUMBER" dataDxfId="4" totalsRow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63A6-94D3-4E87-9171-5C6687074FFB}">
  <sheetPr>
    <pageSetUpPr fitToPage="1"/>
  </sheetPr>
  <dimension ref="A1:AA123"/>
  <sheetViews>
    <sheetView showGridLines="0" tabSelected="1" topLeftCell="A6" zoomScaleNormal="100" workbookViewId="0">
      <selection activeCell="U22" sqref="U22"/>
    </sheetView>
  </sheetViews>
  <sheetFormatPr defaultColWidth="9.140625" defaultRowHeight="11.25" outlineLevelCol="1"/>
  <cols>
    <col min="1" max="1" width="4.140625" style="2" bestFit="1" customWidth="1"/>
    <col min="2" max="2" width="11.7109375" style="2" bestFit="1" customWidth="1"/>
    <col min="3" max="3" width="5.5703125" style="2" hidden="1" customWidth="1"/>
    <col min="4" max="4" width="56.7109375" style="2" hidden="1" customWidth="1" outlineLevel="1"/>
    <col min="5" max="5" width="35.7109375" style="2" customWidth="1" collapsed="1"/>
    <col min="6" max="6" width="10" style="2" hidden="1" customWidth="1"/>
    <col min="7" max="7" width="19" style="2" bestFit="1" customWidth="1"/>
    <col min="8" max="8" width="12" style="2" hidden="1" customWidth="1"/>
    <col min="9" max="12" width="7.7109375" style="2" hidden="1" customWidth="1" outlineLevel="1"/>
    <col min="13" max="13" width="15.5703125" style="2" bestFit="1" customWidth="1" collapsed="1"/>
    <col min="14" max="14" width="19" style="2" hidden="1" customWidth="1"/>
    <col min="15" max="15" width="18.28515625" style="2" hidden="1" customWidth="1"/>
    <col min="16" max="16" width="16.85546875" style="2" hidden="1" customWidth="1"/>
    <col min="17" max="17" width="4.5703125" style="2" customWidth="1"/>
    <col min="18" max="18" width="7.85546875" style="2" bestFit="1" customWidth="1"/>
    <col min="19" max="19" width="9" style="2" bestFit="1" customWidth="1"/>
    <col min="20" max="20" width="10.7109375" style="2" bestFit="1" customWidth="1"/>
    <col min="21" max="21" width="11.5703125" style="2" customWidth="1" outlineLevel="1"/>
    <col min="22" max="22" width="8.85546875" style="2" bestFit="1" customWidth="1"/>
    <col min="23" max="23" width="13.7109375" style="2" bestFit="1" customWidth="1"/>
    <col min="24" max="24" width="8.28515625" style="2" bestFit="1" customWidth="1"/>
    <col min="25" max="25" width="22.85546875" style="2" hidden="1" customWidth="1" outlineLevel="1"/>
    <col min="26" max="26" width="9.85546875" style="2" customWidth="1" collapsed="1"/>
    <col min="27" max="16384" width="9.140625" style="2"/>
  </cols>
  <sheetData>
    <row r="1" spans="1:27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7" ht="26.25">
      <c r="A2" s="100" t="s">
        <v>162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spans="1:27" ht="15.75">
      <c r="A3" s="101" t="s">
        <v>163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spans="1:27" ht="15.75">
      <c r="A4" s="101" t="s">
        <v>164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32.25">
      <c r="A6" s="102" t="s">
        <v>46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spans="1:27" ht="9.949999999999999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7" ht="9.9499999999999993" customHeight="1">
      <c r="A8" s="88" t="s">
        <v>165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/>
      <c r="R8"/>
      <c r="S8"/>
      <c r="T8" s="3"/>
      <c r="U8" s="3"/>
      <c r="V8" s="97" t="s">
        <v>0</v>
      </c>
      <c r="W8" s="97"/>
      <c r="X8" s="98" t="s">
        <v>189</v>
      </c>
      <c r="Y8" s="98"/>
      <c r="Z8" s="98"/>
    </row>
    <row r="9" spans="1:27" ht="9.9499999999999993" customHeight="1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/>
      <c r="R9"/>
      <c r="S9"/>
      <c r="T9" s="3"/>
      <c r="U9" s="3"/>
      <c r="V9" s="97"/>
      <c r="W9" s="97"/>
      <c r="X9" s="98"/>
      <c r="Y9" s="98"/>
      <c r="Z9" s="98"/>
    </row>
    <row r="10" spans="1:27" ht="9.9499999999999993" customHeight="1">
      <c r="A10" s="89" t="s">
        <v>166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/>
      <c r="R10"/>
      <c r="S10"/>
      <c r="T10" s="4"/>
      <c r="U10" s="4"/>
      <c r="V10" s="92" t="s">
        <v>1</v>
      </c>
      <c r="W10" s="73"/>
      <c r="X10" s="93">
        <v>46176</v>
      </c>
      <c r="Y10" s="94"/>
      <c r="Z10" s="94"/>
    </row>
    <row r="11" spans="1:27" ht="9.9499999999999993" customHeight="1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/>
      <c r="R11"/>
      <c r="S11"/>
      <c r="T11" s="4"/>
      <c r="U11" s="4"/>
      <c r="V11" s="73"/>
      <c r="W11" s="73"/>
      <c r="X11" s="94"/>
      <c r="Y11" s="94"/>
      <c r="Z11" s="94"/>
    </row>
    <row r="12" spans="1:27" ht="9.9499999999999993" customHeight="1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/>
      <c r="R12"/>
      <c r="S12"/>
      <c r="T12" s="5"/>
      <c r="U12" s="5"/>
      <c r="V12" s="95" t="s">
        <v>2</v>
      </c>
      <c r="W12" s="95"/>
      <c r="X12" s="96" t="s">
        <v>194</v>
      </c>
      <c r="Y12" s="96"/>
      <c r="Z12" s="96"/>
    </row>
    <row r="13" spans="1:27" ht="9.9499999999999993" customHeight="1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/>
      <c r="R13"/>
      <c r="S13"/>
      <c r="T13" s="5"/>
      <c r="U13" s="5"/>
      <c r="V13" s="95"/>
      <c r="W13" s="95"/>
      <c r="X13" s="96"/>
      <c r="Y13" s="96"/>
      <c r="Z13" s="96"/>
    </row>
    <row r="14" spans="1:27" ht="9.9499999999999993" customHeight="1">
      <c r="A14" s="6"/>
      <c r="B14" s="6"/>
      <c r="C14" s="6"/>
      <c r="D14" s="6"/>
      <c r="E14" s="6"/>
      <c r="F14" s="6"/>
      <c r="G14" s="6"/>
      <c r="H14" s="1"/>
      <c r="I14" s="1"/>
      <c r="J14" s="1"/>
      <c r="K14" s="1"/>
      <c r="L14" s="1"/>
      <c r="M14"/>
      <c r="N14"/>
      <c r="O14"/>
      <c r="P14"/>
      <c r="Q14"/>
      <c r="R14"/>
      <c r="S14"/>
      <c r="T14" s="5"/>
      <c r="U14" s="5"/>
      <c r="V14" s="1"/>
      <c r="W14" s="1"/>
      <c r="X14" s="1"/>
      <c r="Y14" s="1"/>
      <c r="Z14" s="1"/>
    </row>
    <row r="15" spans="1:27" ht="9.9499999999999993" customHeight="1">
      <c r="A15" s="87" t="s">
        <v>190</v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/>
      <c r="R15"/>
      <c r="S15"/>
      <c r="T15"/>
      <c r="U15"/>
      <c r="V15"/>
      <c r="W15"/>
      <c r="X15"/>
      <c r="Y15"/>
      <c r="Z15"/>
      <c r="AA15"/>
    </row>
    <row r="16" spans="1:27" ht="9.9499999999999993" customHeight="1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/>
      <c r="R16"/>
      <c r="S16"/>
      <c r="T16"/>
      <c r="U16"/>
      <c r="V16"/>
      <c r="W16"/>
      <c r="X16"/>
      <c r="Y16"/>
      <c r="Z16"/>
      <c r="AA16"/>
    </row>
    <row r="17" spans="1:27" ht="9.9499999999999993" customHeight="1">
      <c r="A17" s="89" t="s">
        <v>167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/>
      <c r="R17"/>
      <c r="S17"/>
      <c r="T17"/>
      <c r="U17"/>
      <c r="V17"/>
      <c r="W17"/>
      <c r="X17"/>
      <c r="Y17"/>
      <c r="Z17"/>
      <c r="AA17"/>
    </row>
    <row r="18" spans="1:27" ht="9.9499999999999993" customHeight="1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/>
      <c r="R18"/>
      <c r="S18"/>
      <c r="T18"/>
      <c r="U18"/>
      <c r="V18"/>
      <c r="W18"/>
      <c r="X18"/>
      <c r="Y18"/>
      <c r="Z18"/>
      <c r="AA18"/>
    </row>
    <row r="19" spans="1:27" ht="9.9499999999999993" customHeight="1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/>
      <c r="R19"/>
      <c r="S19"/>
      <c r="T19"/>
      <c r="U19"/>
      <c r="V19"/>
      <c r="W19"/>
      <c r="X19"/>
      <c r="Y19"/>
      <c r="Z19"/>
      <c r="AA19"/>
    </row>
    <row r="20" spans="1:27" ht="9.9499999999999993" customHeight="1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/>
      <c r="R20"/>
      <c r="S20"/>
      <c r="T20"/>
      <c r="U20" s="7">
        <v>152494.74000000002</v>
      </c>
      <c r="V20"/>
      <c r="W20"/>
      <c r="X20"/>
      <c r="Y20"/>
      <c r="Z20"/>
      <c r="AA20"/>
    </row>
    <row r="21" spans="1:27" ht="9.9499999999999993" customHeight="1">
      <c r="M21"/>
      <c r="N21"/>
      <c r="O21"/>
      <c r="P21"/>
      <c r="Q21"/>
      <c r="R21"/>
      <c r="S21"/>
      <c r="T21"/>
      <c r="U21" s="8">
        <v>105.26</v>
      </c>
      <c r="V21"/>
      <c r="W21"/>
      <c r="X21"/>
      <c r="Y21"/>
      <c r="Z21"/>
      <c r="AA21"/>
    </row>
    <row r="22" spans="1:27" ht="12" thickBot="1">
      <c r="B22" s="1" t="s">
        <v>3</v>
      </c>
      <c r="C22" s="1" t="s">
        <v>3</v>
      </c>
      <c r="R22" s="1" t="s">
        <v>3</v>
      </c>
      <c r="S22" s="1" t="s">
        <v>3</v>
      </c>
      <c r="U22" s="1" t="s">
        <v>3</v>
      </c>
      <c r="V22" s="1"/>
      <c r="Z22" s="1" t="s">
        <v>3</v>
      </c>
    </row>
    <row r="23" spans="1:27" ht="24.95" customHeight="1" thickBot="1">
      <c r="A23" s="9" t="s">
        <v>4</v>
      </c>
      <c r="B23" s="10" t="s">
        <v>5</v>
      </c>
      <c r="C23" s="10" t="s">
        <v>6</v>
      </c>
      <c r="D23" s="10" t="s">
        <v>7</v>
      </c>
      <c r="E23" s="10" t="s">
        <v>8</v>
      </c>
      <c r="F23" s="10" t="s">
        <v>9</v>
      </c>
      <c r="G23" s="10" t="s">
        <v>10</v>
      </c>
      <c r="H23" s="10" t="s">
        <v>11</v>
      </c>
      <c r="I23" s="10" t="s">
        <v>12</v>
      </c>
      <c r="J23" s="10" t="s">
        <v>13</v>
      </c>
      <c r="K23" s="10" t="s">
        <v>14</v>
      </c>
      <c r="L23" s="10" t="s">
        <v>15</v>
      </c>
      <c r="M23" s="10" t="s">
        <v>16</v>
      </c>
      <c r="N23" s="10" t="s">
        <v>17</v>
      </c>
      <c r="O23" s="10" t="s">
        <v>18</v>
      </c>
      <c r="P23" s="10" t="s">
        <v>19</v>
      </c>
      <c r="Q23" s="10" t="s">
        <v>20</v>
      </c>
      <c r="R23" s="10" t="s">
        <v>161</v>
      </c>
      <c r="S23" s="10" t="s">
        <v>21</v>
      </c>
      <c r="T23" s="11" t="s">
        <v>22</v>
      </c>
      <c r="U23" s="10" t="s">
        <v>23</v>
      </c>
      <c r="V23" s="10" t="s">
        <v>24</v>
      </c>
      <c r="W23" s="10" t="s">
        <v>25</v>
      </c>
      <c r="X23" s="10" t="s">
        <v>26</v>
      </c>
      <c r="Y23" s="10" t="s">
        <v>27</v>
      </c>
      <c r="Z23" s="12" t="s">
        <v>28</v>
      </c>
    </row>
    <row r="24" spans="1:27">
      <c r="A24" s="13">
        <v>1</v>
      </c>
      <c r="B24" s="14" t="s">
        <v>47</v>
      </c>
      <c r="C24" s="13"/>
      <c r="D2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4" s="15" t="s">
        <v>103</v>
      </c>
      <c r="F2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4" s="13">
        <v>304</v>
      </c>
      <c r="H2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4" s="13" t="s">
        <v>115</v>
      </c>
      <c r="N2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4" s="13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4" s="13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4" s="13" t="s">
        <v>160</v>
      </c>
      <c r="R24" s="14">
        <v>120</v>
      </c>
      <c r="S24" s="16">
        <v>0.65154374999999998</v>
      </c>
      <c r="T24" s="17">
        <f>Banco_Invoice[[#This Row],[NET WEIGHT (Kg)]]*Banco_Invoice[[#This Row],[QUANTITY / M]]</f>
        <v>78.185249999999996</v>
      </c>
      <c r="U24" s="18">
        <v>1.83</v>
      </c>
      <c r="V24" s="18">
        <f>IF(AND($U$20&gt;0,$U$21&gt;0),Banco_Invoice[[#This Row],[ORIGINAL PRICE UNIT. (USD)]]*(($U$20-$U$21)/$U$20),Banco_Invoice[[#This Row],[ORIGINAL PRICE UNIT. (USD)]])</f>
        <v>1.8287368364312107</v>
      </c>
      <c r="W24" s="19">
        <f>Banco_Invoice[[#This Row],[PRICE UNIT. (USD)]]*Banco_Invoice[[#This Row],[QUANTITY / M]]</f>
        <v>219.44842037174527</v>
      </c>
      <c r="X24" s="13">
        <v>73064000</v>
      </c>
      <c r="Y24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4" s="20" t="s">
        <v>195</v>
      </c>
    </row>
    <row r="25" spans="1:27">
      <c r="A25" s="21">
        <v>2</v>
      </c>
      <c r="B25" s="22" t="s">
        <v>48</v>
      </c>
      <c r="C25" s="21"/>
      <c r="D2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5" s="15" t="s">
        <v>103</v>
      </c>
      <c r="F2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5" s="13">
        <v>304</v>
      </c>
      <c r="H2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5" s="13" t="s">
        <v>116</v>
      </c>
      <c r="N2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5" s="13" t="s">
        <v>160</v>
      </c>
      <c r="R25" s="23">
        <v>1200</v>
      </c>
      <c r="S25" s="24">
        <v>0.8872874999999999</v>
      </c>
      <c r="T25" s="25">
        <f>Banco_Invoice[[#This Row],[NET WEIGHT (Kg)]]*Banco_Invoice[[#This Row],[QUANTITY / M]]</f>
        <v>1064.7449999999999</v>
      </c>
      <c r="U25" s="26">
        <v>2.4500000000000002</v>
      </c>
      <c r="V25" s="26">
        <f>IF(AND($U$20&gt;0,$U$21&gt;0),Banco_Invoice[[#This Row],[ORIGINAL PRICE UNIT. (USD)]]*(($U$20-$U$21)/$U$20),Banco_Invoice[[#This Row],[ORIGINAL PRICE UNIT. (USD)]])</f>
        <v>2.448308879375118</v>
      </c>
      <c r="W25" s="27">
        <f>Banco_Invoice[[#This Row],[PRICE UNIT. (USD)]]*Banco_Invoice[[#This Row],[QUANTITY / M]]</f>
        <v>2937.9706552501416</v>
      </c>
      <c r="X25" s="13">
        <v>73064000</v>
      </c>
      <c r="Y25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5" s="20" t="s">
        <v>195</v>
      </c>
    </row>
    <row r="26" spans="1:27">
      <c r="A26" s="13">
        <v>3</v>
      </c>
      <c r="B26" s="22" t="s">
        <v>49</v>
      </c>
      <c r="C26" s="21"/>
      <c r="D2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6" s="15" t="s">
        <v>103</v>
      </c>
      <c r="F2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6" s="13">
        <v>304</v>
      </c>
      <c r="H2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6" s="13" t="s">
        <v>117</v>
      </c>
      <c r="N2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6" s="13" t="s">
        <v>160</v>
      </c>
      <c r="R26" s="23">
        <v>270</v>
      </c>
      <c r="S26" s="24">
        <v>1.1230312500000001</v>
      </c>
      <c r="T26" s="25">
        <f>Banco_Invoice[[#This Row],[NET WEIGHT (Kg)]]*Banco_Invoice[[#This Row],[QUANTITY / M]]</f>
        <v>303.21843750000005</v>
      </c>
      <c r="U26" s="26">
        <v>3.06</v>
      </c>
      <c r="V26" s="26">
        <f>IF(AND($U$20&gt;0,$U$21&gt;0),Banco_Invoice[[#This Row],[ORIGINAL PRICE UNIT. (USD)]]*(($U$20-$U$21)/$U$20),Banco_Invoice[[#This Row],[ORIGINAL PRICE UNIT. (USD)]])</f>
        <v>3.0578878248521884</v>
      </c>
      <c r="W26" s="27">
        <f>Banco_Invoice[[#This Row],[PRICE UNIT. (USD)]]*Banco_Invoice[[#This Row],[QUANTITY / M]]</f>
        <v>825.62971271009087</v>
      </c>
      <c r="X26" s="13">
        <v>73064000</v>
      </c>
      <c r="Y26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6" s="20" t="s">
        <v>195</v>
      </c>
    </row>
    <row r="27" spans="1:27">
      <c r="A27" s="21">
        <v>4</v>
      </c>
      <c r="B27" s="22" t="s">
        <v>50</v>
      </c>
      <c r="C27" s="21"/>
      <c r="D2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7" s="15" t="s">
        <v>103</v>
      </c>
      <c r="F2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7" s="13">
        <v>304</v>
      </c>
      <c r="H2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7" s="13" t="s">
        <v>118</v>
      </c>
      <c r="N2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7" s="13" t="s">
        <v>160</v>
      </c>
      <c r="R27" s="23">
        <v>1800</v>
      </c>
      <c r="S27" s="24">
        <v>1.3587750000000003</v>
      </c>
      <c r="T27" s="25">
        <f>Banco_Invoice[[#This Row],[NET WEIGHT (Kg)]]*Banco_Invoice[[#This Row],[QUANTITY / M]]</f>
        <v>2445.7950000000005</v>
      </c>
      <c r="U27" s="26">
        <v>3.64</v>
      </c>
      <c r="V27" s="26">
        <f>IF(AND($U$20&gt;0,$U$21&gt;0),Banco_Invoice[[#This Row],[ORIGINAL PRICE UNIT. (USD)]]*(($U$20-$U$21)/$U$20),Banco_Invoice[[#This Row],[ORIGINAL PRICE UNIT. (USD)]])</f>
        <v>3.6374874779287469</v>
      </c>
      <c r="W27" s="27">
        <f>Banco_Invoice[[#This Row],[PRICE UNIT. (USD)]]*Banco_Invoice[[#This Row],[QUANTITY / M]]</f>
        <v>6547.4774602717443</v>
      </c>
      <c r="X27" s="13">
        <v>73064000</v>
      </c>
      <c r="Y27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7" s="20" t="s">
        <v>195</v>
      </c>
    </row>
    <row r="28" spans="1:27">
      <c r="A28" s="13">
        <v>5</v>
      </c>
      <c r="B28" s="22" t="s">
        <v>51</v>
      </c>
      <c r="C28" s="21"/>
      <c r="D2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8" s="15" t="s">
        <v>103</v>
      </c>
      <c r="F2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8" s="13">
        <v>304</v>
      </c>
      <c r="H2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8" s="13" t="s">
        <v>119</v>
      </c>
      <c r="N2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8" s="13" t="s">
        <v>160</v>
      </c>
      <c r="R28" s="23">
        <v>3120</v>
      </c>
      <c r="S28" s="24">
        <v>1.8302624999999999</v>
      </c>
      <c r="T28" s="25">
        <f>Banco_Invoice[[#This Row],[NET WEIGHT (Kg)]]*Banco_Invoice[[#This Row],[QUANTITY / M]]</f>
        <v>5710.4189999999999</v>
      </c>
      <c r="U28" s="26">
        <v>4.9000000000000004</v>
      </c>
      <c r="V28" s="26">
        <f>IF(AND($U$20&gt;0,$U$21&gt;0),Banco_Invoice[[#This Row],[ORIGINAL PRICE UNIT. (USD)]]*(($U$20-$U$21)/$U$20),Banco_Invoice[[#This Row],[ORIGINAL PRICE UNIT. (USD)]])</f>
        <v>4.896617758750236</v>
      </c>
      <c r="W28" s="27">
        <f>Banco_Invoice[[#This Row],[PRICE UNIT. (USD)]]*Banco_Invoice[[#This Row],[QUANTITY / M]]</f>
        <v>15277.447407300737</v>
      </c>
      <c r="X28" s="13">
        <v>73064000</v>
      </c>
      <c r="Y28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8" s="20" t="s">
        <v>195</v>
      </c>
    </row>
    <row r="29" spans="1:27">
      <c r="A29" s="21">
        <v>6</v>
      </c>
      <c r="B29" s="22" t="s">
        <v>52</v>
      </c>
      <c r="C29" s="21"/>
      <c r="D2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29" s="15" t="s">
        <v>103</v>
      </c>
      <c r="F2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29" s="13">
        <v>304</v>
      </c>
      <c r="H2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2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2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2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2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29" s="13" t="s">
        <v>120</v>
      </c>
      <c r="N2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2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2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29" s="13" t="s">
        <v>160</v>
      </c>
      <c r="R29" s="23">
        <v>180</v>
      </c>
      <c r="S29" s="24">
        <v>2.3017500000000002</v>
      </c>
      <c r="T29" s="25">
        <f>Banco_Invoice[[#This Row],[NET WEIGHT (Kg)]]*Banco_Invoice[[#This Row],[QUANTITY / M]]</f>
        <v>414.31500000000005</v>
      </c>
      <c r="U29" s="26">
        <v>6.16</v>
      </c>
      <c r="V29" s="26">
        <f>IF(AND($U$20&gt;0,$U$21&gt;0),Banco_Invoice[[#This Row],[ORIGINAL PRICE UNIT. (USD)]]*(($U$20-$U$21)/$U$20),Banco_Invoice[[#This Row],[ORIGINAL PRICE UNIT. (USD)]])</f>
        <v>6.1557480395717254</v>
      </c>
      <c r="W29" s="27">
        <f>Banco_Invoice[[#This Row],[PRICE UNIT. (USD)]]*Banco_Invoice[[#This Row],[QUANTITY / M]]</f>
        <v>1108.0346471229107</v>
      </c>
      <c r="X29" s="13">
        <v>73064000</v>
      </c>
      <c r="Y29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29" s="20" t="s">
        <v>195</v>
      </c>
    </row>
    <row r="30" spans="1:27">
      <c r="A30" s="13">
        <v>7</v>
      </c>
      <c r="B30" s="22" t="s">
        <v>53</v>
      </c>
      <c r="C30" s="21"/>
      <c r="D30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0" s="15" t="s">
        <v>103</v>
      </c>
      <c r="F30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0" s="13">
        <v>304</v>
      </c>
      <c r="H30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0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0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0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0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0" s="13" t="s">
        <v>121</v>
      </c>
      <c r="N30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0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0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0" s="13" t="s">
        <v>160</v>
      </c>
      <c r="R30" s="23">
        <v>570</v>
      </c>
      <c r="S30" s="24">
        <v>2.7732375000000005</v>
      </c>
      <c r="T30" s="25">
        <f>Banco_Invoice[[#This Row],[NET WEIGHT (Kg)]]*Banco_Invoice[[#This Row],[QUANTITY / M]]</f>
        <v>1580.7453750000002</v>
      </c>
      <c r="U30" s="26">
        <v>7.41</v>
      </c>
      <c r="V30" s="26">
        <f>IF(AND($U$20&gt;0,$U$21&gt;0),Banco_Invoice[[#This Row],[ORIGINAL PRICE UNIT. (USD)]]*(($U$20-$U$21)/$U$20),Banco_Invoice[[#This Row],[ORIGINAL PRICE UNIT. (USD)]])</f>
        <v>7.4048852229263771</v>
      </c>
      <c r="W30" s="27">
        <f>Banco_Invoice[[#This Row],[PRICE UNIT. (USD)]]*Banco_Invoice[[#This Row],[QUANTITY / M]]</f>
        <v>4220.7845770680351</v>
      </c>
      <c r="X30" s="13">
        <v>73064000</v>
      </c>
      <c r="Y30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0" s="20" t="s">
        <v>195</v>
      </c>
    </row>
    <row r="31" spans="1:27">
      <c r="A31" s="21">
        <v>8</v>
      </c>
      <c r="B31" s="22" t="s">
        <v>54</v>
      </c>
      <c r="C31" s="21"/>
      <c r="D31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1" s="15" t="s">
        <v>103</v>
      </c>
      <c r="F31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1" s="13">
        <v>304</v>
      </c>
      <c r="H31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1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1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1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1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1" s="13" t="s">
        <v>122</v>
      </c>
      <c r="N31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1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1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1" s="13" t="s">
        <v>160</v>
      </c>
      <c r="R31" s="23">
        <v>600</v>
      </c>
      <c r="S31" s="24">
        <v>3.6729000000000003</v>
      </c>
      <c r="T31" s="25">
        <f>Banco_Invoice[[#This Row],[NET WEIGHT (Kg)]]*Banco_Invoice[[#This Row],[QUANTITY / M]]</f>
        <v>2203.7400000000002</v>
      </c>
      <c r="U31" s="26">
        <v>9.83</v>
      </c>
      <c r="V31" s="26">
        <f>IF(AND($U$20&gt;0,$U$21&gt;0),Banco_Invoice[[#This Row],[ORIGINAL PRICE UNIT. (USD)]]*(($U$20-$U$21)/$U$20),Banco_Invoice[[#This Row],[ORIGINAL PRICE UNIT. (USD)]])</f>
        <v>9.8232148099009837</v>
      </c>
      <c r="W31" s="27">
        <f>Banco_Invoice[[#This Row],[PRICE UNIT. (USD)]]*Banco_Invoice[[#This Row],[QUANTITY / M]]</f>
        <v>5893.9288859405906</v>
      </c>
      <c r="X31" s="13">
        <v>73064000</v>
      </c>
      <c r="Y31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1" s="20" t="s">
        <v>196</v>
      </c>
    </row>
    <row r="32" spans="1:27">
      <c r="A32" s="13">
        <v>9</v>
      </c>
      <c r="B32" s="22" t="s">
        <v>55</v>
      </c>
      <c r="C32" s="21"/>
      <c r="D32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2" s="15" t="s">
        <v>103</v>
      </c>
      <c r="F32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2" s="13">
        <v>304</v>
      </c>
      <c r="H32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2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2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2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2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2" s="13" t="s">
        <v>123</v>
      </c>
      <c r="N32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2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2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2" s="13" t="s">
        <v>160</v>
      </c>
      <c r="R32" s="23">
        <v>390</v>
      </c>
      <c r="S32" s="24">
        <v>3.7162124999999997</v>
      </c>
      <c r="T32" s="25">
        <f>Banco_Invoice[[#This Row],[NET WEIGHT (Kg)]]*Banco_Invoice[[#This Row],[QUANTITY / M]]</f>
        <v>1449.3228749999998</v>
      </c>
      <c r="U32" s="26">
        <v>9.93</v>
      </c>
      <c r="V32" s="26">
        <f>IF(AND($U$20&gt;0,$U$21&gt;0),Banco_Invoice[[#This Row],[ORIGINAL PRICE UNIT. (USD)]]*(($U$20-$U$21)/$U$20),Banco_Invoice[[#This Row],[ORIGINAL PRICE UNIT. (USD)]])</f>
        <v>9.9231457845693551</v>
      </c>
      <c r="W32" s="27">
        <f>Banco_Invoice[[#This Row],[PRICE UNIT. (USD)]]*Banco_Invoice[[#This Row],[QUANTITY / M]]</f>
        <v>3870.0268559820483</v>
      </c>
      <c r="X32" s="13">
        <v>73064000</v>
      </c>
      <c r="Y32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2" s="20" t="s">
        <v>197</v>
      </c>
    </row>
    <row r="33" spans="1:26">
      <c r="A33" s="21">
        <v>10</v>
      </c>
      <c r="B33" s="22" t="s">
        <v>56</v>
      </c>
      <c r="C33" s="21"/>
      <c r="D33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3" s="15" t="s">
        <v>103</v>
      </c>
      <c r="F33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3" s="13">
        <v>304</v>
      </c>
      <c r="H33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3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3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3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3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3" s="13" t="s">
        <v>124</v>
      </c>
      <c r="N33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3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3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3" s="13" t="s">
        <v>160</v>
      </c>
      <c r="R33" s="23">
        <v>180</v>
      </c>
      <c r="S33" s="24">
        <v>4.9302000000000001</v>
      </c>
      <c r="T33" s="25">
        <f>Banco_Invoice[[#This Row],[NET WEIGHT (Kg)]]*Banco_Invoice[[#This Row],[QUANTITY / M]]</f>
        <v>887.43600000000004</v>
      </c>
      <c r="U33" s="26">
        <v>13.18</v>
      </c>
      <c r="V33" s="26">
        <f>IF(AND($U$20&gt;0,$U$21&gt;0),Banco_Invoice[[#This Row],[ORIGINAL PRICE UNIT. (USD)]]*(($U$20-$U$21)/$U$20),Banco_Invoice[[#This Row],[ORIGINAL PRICE UNIT. (USD)]])</f>
        <v>13.170902461291451</v>
      </c>
      <c r="W33" s="27">
        <f>Banco_Invoice[[#This Row],[PRICE UNIT. (USD)]]*Banco_Invoice[[#This Row],[QUANTITY / M]]</f>
        <v>2370.7624430324613</v>
      </c>
      <c r="X33" s="13">
        <v>73064000</v>
      </c>
      <c r="Y33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3" s="20" t="s">
        <v>198</v>
      </c>
    </row>
    <row r="34" spans="1:26">
      <c r="A34" s="13">
        <v>11</v>
      </c>
      <c r="B34" s="22" t="s">
        <v>57</v>
      </c>
      <c r="C34" s="21"/>
      <c r="D3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4" s="15" t="s">
        <v>103</v>
      </c>
      <c r="F3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4" s="13">
        <v>304</v>
      </c>
      <c r="H3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4" s="13" t="s">
        <v>125</v>
      </c>
      <c r="N3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4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4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4" s="13" t="s">
        <v>160</v>
      </c>
      <c r="R34" s="23">
        <v>90</v>
      </c>
      <c r="S34" s="24">
        <v>6.1875</v>
      </c>
      <c r="T34" s="25">
        <f>Banco_Invoice[[#This Row],[NET WEIGHT (Kg)]]*Banco_Invoice[[#This Row],[QUANTITY / M]]</f>
        <v>556.875</v>
      </c>
      <c r="U34" s="26">
        <v>16.54</v>
      </c>
      <c r="V34" s="26">
        <f>IF(AND($U$20&gt;0,$U$21&gt;0),Banco_Invoice[[#This Row],[ORIGINAL PRICE UNIT. (USD)]]*(($U$20-$U$21)/$U$20),Banco_Invoice[[#This Row],[ORIGINAL PRICE UNIT. (USD)]])</f>
        <v>16.528583210148756</v>
      </c>
      <c r="W34" s="27">
        <f>Banco_Invoice[[#This Row],[PRICE UNIT. (USD)]]*Banco_Invoice[[#This Row],[QUANTITY / M]]</f>
        <v>1487.572488913388</v>
      </c>
      <c r="X34" s="13">
        <v>73064000</v>
      </c>
      <c r="Y34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4" s="20" t="s">
        <v>198</v>
      </c>
    </row>
    <row r="35" spans="1:26">
      <c r="A35" s="21">
        <v>12</v>
      </c>
      <c r="B35" s="22" t="s">
        <v>58</v>
      </c>
      <c r="C35" s="21"/>
      <c r="D3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5" s="15" t="s">
        <v>103</v>
      </c>
      <c r="F3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5" s="13">
        <v>304</v>
      </c>
      <c r="H3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5" s="13" t="s">
        <v>126</v>
      </c>
      <c r="N3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5" s="13" t="s">
        <v>160</v>
      </c>
      <c r="R35" s="23">
        <v>180</v>
      </c>
      <c r="S35" s="24">
        <v>7.4448000000000008</v>
      </c>
      <c r="T35" s="25">
        <f>Banco_Invoice[[#This Row],[NET WEIGHT (Kg)]]*Banco_Invoice[[#This Row],[QUANTITY / M]]</f>
        <v>1340.0640000000001</v>
      </c>
      <c r="U35" s="26">
        <v>19.89</v>
      </c>
      <c r="V35" s="26">
        <f>IF(AND($U$20&gt;0,$U$21&gt;0),Banco_Invoice[[#This Row],[ORIGINAL PRICE UNIT. (USD)]]*(($U$20-$U$21)/$U$20),Banco_Invoice[[#This Row],[ORIGINAL PRICE UNIT. (USD)]])</f>
        <v>19.876270861539226</v>
      </c>
      <c r="W35" s="27">
        <f>Banco_Invoice[[#This Row],[PRICE UNIT. (USD)]]*Banco_Invoice[[#This Row],[QUANTITY / M]]</f>
        <v>3577.7287550770607</v>
      </c>
      <c r="X35" s="13">
        <v>73064000</v>
      </c>
      <c r="Y35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5" s="20" t="s">
        <v>198</v>
      </c>
    </row>
    <row r="36" spans="1:26">
      <c r="A36" s="13">
        <v>13</v>
      </c>
      <c r="B36" s="22" t="s">
        <v>59</v>
      </c>
      <c r="C36" s="21"/>
      <c r="D3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6" s="15" t="s">
        <v>103</v>
      </c>
      <c r="F3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6" s="13">
        <v>304</v>
      </c>
      <c r="H3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6" s="13" t="s">
        <v>127</v>
      </c>
      <c r="N3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6" s="13" t="s">
        <v>160</v>
      </c>
      <c r="R36" s="23">
        <v>120</v>
      </c>
      <c r="S36" s="24">
        <v>1.583</v>
      </c>
      <c r="T36" s="25">
        <f>Banco_Invoice[[#This Row],[NET WEIGHT (Kg)]]*Banco_Invoice[[#This Row],[QUANTITY / M]]</f>
        <v>189.96</v>
      </c>
      <c r="U36" s="26">
        <v>3</v>
      </c>
      <c r="V36" s="26">
        <f>IF(AND($U$20&gt;0,$U$21&gt;0),Banco_Invoice[[#This Row],[ORIGINAL PRICE UNIT. (USD)]]*(($U$20-$U$21)/$U$20),Banco_Invoice[[#This Row],[ORIGINAL PRICE UNIT. (USD)]])</f>
        <v>2.9979292400511648</v>
      </c>
      <c r="W36" s="27">
        <f>Banco_Invoice[[#This Row],[PRICE UNIT. (USD)]]*Banco_Invoice[[#This Row],[QUANTITY / M]]</f>
        <v>359.75150880613978</v>
      </c>
      <c r="X36" s="13">
        <v>73064000</v>
      </c>
      <c r="Y36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6" s="20" t="s">
        <v>198</v>
      </c>
    </row>
    <row r="37" spans="1:26">
      <c r="A37" s="21">
        <v>14</v>
      </c>
      <c r="B37" s="22" t="s">
        <v>60</v>
      </c>
      <c r="C37" s="21"/>
      <c r="D3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7" s="15" t="s">
        <v>103</v>
      </c>
      <c r="F3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7" s="13">
        <v>304</v>
      </c>
      <c r="H3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7" s="13" t="s">
        <v>128</v>
      </c>
      <c r="N3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7" s="13" t="s">
        <v>160</v>
      </c>
      <c r="R37" s="23">
        <v>180</v>
      </c>
      <c r="S37" s="24">
        <v>1.7869999999999999</v>
      </c>
      <c r="T37" s="25">
        <f>Banco_Invoice[[#This Row],[NET WEIGHT (Kg)]]*Banco_Invoice[[#This Row],[QUANTITY / M]]</f>
        <v>321.65999999999997</v>
      </c>
      <c r="U37" s="26">
        <v>4.62</v>
      </c>
      <c r="V37" s="26">
        <f>IF(AND($U$20&gt;0,$U$21&gt;0),Banco_Invoice[[#This Row],[ORIGINAL PRICE UNIT. (USD)]]*(($U$20-$U$21)/$U$20),Banco_Invoice[[#This Row],[ORIGINAL PRICE UNIT. (USD)]])</f>
        <v>4.6168110296787939</v>
      </c>
      <c r="W37" s="27">
        <f>Banco_Invoice[[#This Row],[PRICE UNIT. (USD)]]*Banco_Invoice[[#This Row],[QUANTITY / M]]</f>
        <v>831.02598534218293</v>
      </c>
      <c r="X37" s="13">
        <v>73064000</v>
      </c>
      <c r="Y37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7" s="20" t="s">
        <v>198</v>
      </c>
    </row>
    <row r="38" spans="1:26">
      <c r="A38" s="13">
        <v>15</v>
      </c>
      <c r="B38" s="22" t="s">
        <v>61</v>
      </c>
      <c r="C38" s="21"/>
      <c r="D3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8" s="15" t="s">
        <v>103</v>
      </c>
      <c r="F3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8" s="13">
        <v>304</v>
      </c>
      <c r="H3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8" s="13" t="s">
        <v>129</v>
      </c>
      <c r="N3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8" s="13" t="s">
        <v>160</v>
      </c>
      <c r="R38" s="23">
        <v>180</v>
      </c>
      <c r="S38" s="24">
        <v>2.4156</v>
      </c>
      <c r="T38" s="25">
        <f>Banco_Invoice[[#This Row],[NET WEIGHT (Kg)]]*Banco_Invoice[[#This Row],[QUANTITY / M]]</f>
        <v>434.80799999999999</v>
      </c>
      <c r="U38" s="26">
        <v>6.24</v>
      </c>
      <c r="V38" s="26">
        <f>IF(AND($U$20&gt;0,$U$21&gt;0),Banco_Invoice[[#This Row],[ORIGINAL PRICE UNIT. (USD)]]*(($U$20-$U$21)/$U$20),Banco_Invoice[[#This Row],[ORIGINAL PRICE UNIT. (USD)]])</f>
        <v>6.2356928193064229</v>
      </c>
      <c r="W38" s="27">
        <f>Banco_Invoice[[#This Row],[PRICE UNIT. (USD)]]*Banco_Invoice[[#This Row],[QUANTITY / M]]</f>
        <v>1122.4247074751561</v>
      </c>
      <c r="X38" s="13">
        <v>73064000</v>
      </c>
      <c r="Y38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8" s="20" t="s">
        <v>198</v>
      </c>
    </row>
    <row r="39" spans="1:26">
      <c r="A39" s="21">
        <v>16</v>
      </c>
      <c r="B39" s="22" t="s">
        <v>62</v>
      </c>
      <c r="C39" s="21"/>
      <c r="D3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39" s="15" t="s">
        <v>103</v>
      </c>
      <c r="F3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39" s="13" t="s">
        <v>114</v>
      </c>
      <c r="H3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3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3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3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3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39" s="13" t="s">
        <v>127</v>
      </c>
      <c r="N3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3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3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39" s="13" t="s">
        <v>160</v>
      </c>
      <c r="R39" s="23">
        <v>90</v>
      </c>
      <c r="S39" s="24">
        <v>1.1579999999999999</v>
      </c>
      <c r="T39" s="25">
        <f>Banco_Invoice[[#This Row],[NET WEIGHT (Kg)]]*Banco_Invoice[[#This Row],[QUANTITY / M]]</f>
        <v>104.22</v>
      </c>
      <c r="U39" s="26">
        <v>6.04</v>
      </c>
      <c r="V39" s="26">
        <f>IF(AND($U$20&gt;0,$U$21&gt;0),Banco_Invoice[[#This Row],[ORIGINAL PRICE UNIT. (USD)]]*(($U$20-$U$21)/$U$20),Banco_Invoice[[#This Row],[ORIGINAL PRICE UNIT. (USD)]])</f>
        <v>6.0358308699696783</v>
      </c>
      <c r="W39" s="27">
        <f>Banco_Invoice[[#This Row],[PRICE UNIT. (USD)]]*Banco_Invoice[[#This Row],[QUANTITY / M]]</f>
        <v>543.22477829727109</v>
      </c>
      <c r="X39" s="13">
        <v>73064000</v>
      </c>
      <c r="Y39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39" s="20" t="s">
        <v>199</v>
      </c>
    </row>
    <row r="40" spans="1:26">
      <c r="A40" s="13">
        <v>17</v>
      </c>
      <c r="B40" s="22" t="s">
        <v>63</v>
      </c>
      <c r="C40" s="21"/>
      <c r="D40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0" s="15" t="s">
        <v>103</v>
      </c>
      <c r="F40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0" s="13" t="s">
        <v>114</v>
      </c>
      <c r="H40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0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0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0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0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0" s="13" t="s">
        <v>128</v>
      </c>
      <c r="N40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0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0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0" s="13" t="s">
        <v>160</v>
      </c>
      <c r="R40" s="23">
        <v>90</v>
      </c>
      <c r="S40" s="24">
        <v>1.7869999999999999</v>
      </c>
      <c r="T40" s="25">
        <f>Banco_Invoice[[#This Row],[NET WEIGHT (Kg)]]*Banco_Invoice[[#This Row],[QUANTITY / M]]</f>
        <v>160.82999999999998</v>
      </c>
      <c r="U40" s="26">
        <v>9.3000000000000007</v>
      </c>
      <c r="V40" s="26">
        <f>IF(AND($U$20&gt;0,$U$21&gt;0),Banco_Invoice[[#This Row],[ORIGINAL PRICE UNIT. (USD)]]*(($U$20-$U$21)/$U$20),Banco_Invoice[[#This Row],[ORIGINAL PRICE UNIT. (USD)]])</f>
        <v>9.2935806441586113</v>
      </c>
      <c r="W40" s="27">
        <f>Banco_Invoice[[#This Row],[PRICE UNIT. (USD)]]*Banco_Invoice[[#This Row],[QUANTITY / M]]</f>
        <v>836.422257974275</v>
      </c>
      <c r="X40" s="13">
        <v>73064000</v>
      </c>
      <c r="Y40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0" s="20" t="s">
        <v>199</v>
      </c>
    </row>
    <row r="41" spans="1:26">
      <c r="A41" s="21">
        <v>18</v>
      </c>
      <c r="B41" s="22" t="s">
        <v>64</v>
      </c>
      <c r="C41" s="21"/>
      <c r="D41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1" s="15" t="s">
        <v>103</v>
      </c>
      <c r="F41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1" s="13" t="s">
        <v>114</v>
      </c>
      <c r="H41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1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1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1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1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1" s="13" t="s">
        <v>129</v>
      </c>
      <c r="N41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1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1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1" s="13" t="s">
        <v>160</v>
      </c>
      <c r="R41" s="23">
        <v>90</v>
      </c>
      <c r="S41" s="24">
        <v>2.4156</v>
      </c>
      <c r="T41" s="25">
        <f>Banco_Invoice[[#This Row],[NET WEIGHT (Kg)]]*Banco_Invoice[[#This Row],[QUANTITY / M]]</f>
        <v>217.404</v>
      </c>
      <c r="U41" s="26">
        <v>12.56</v>
      </c>
      <c r="V41" s="26">
        <f>IF(AND($U$20&gt;0,$U$21&gt;0),Banco_Invoice[[#This Row],[ORIGINAL PRICE UNIT. (USD)]]*(($U$20-$U$21)/$U$20),Banco_Invoice[[#This Row],[ORIGINAL PRICE UNIT. (USD)]])</f>
        <v>12.551330418347543</v>
      </c>
      <c r="W41" s="27">
        <f>Banco_Invoice[[#This Row],[PRICE UNIT. (USD)]]*Banco_Invoice[[#This Row],[QUANTITY / M]]</f>
        <v>1129.6197376512789</v>
      </c>
      <c r="X41" s="13">
        <v>73064000</v>
      </c>
      <c r="Y41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1" s="20" t="s">
        <v>199</v>
      </c>
    </row>
    <row r="42" spans="1:26">
      <c r="A42" s="13">
        <v>19</v>
      </c>
      <c r="B42" s="22" t="s">
        <v>65</v>
      </c>
      <c r="C42" s="21"/>
      <c r="D42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2" s="15" t="s">
        <v>103</v>
      </c>
      <c r="F42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2" s="13" t="s">
        <v>114</v>
      </c>
      <c r="H42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2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2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2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2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2" s="13" t="s">
        <v>115</v>
      </c>
      <c r="N42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2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2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2" s="13" t="s">
        <v>160</v>
      </c>
      <c r="R42" s="23">
        <v>300</v>
      </c>
      <c r="S42" s="24">
        <v>0.65154375000000009</v>
      </c>
      <c r="T42" s="25">
        <f>Banco_Invoice[[#This Row],[NET WEIGHT (Kg)]]*Banco_Invoice[[#This Row],[QUANTITY / M]]</f>
        <v>195.46312500000002</v>
      </c>
      <c r="U42" s="26">
        <v>3.48</v>
      </c>
      <c r="V42" s="26">
        <f>IF(AND($U$20&gt;0,$U$21&gt;0),Banco_Invoice[[#This Row],[ORIGINAL PRICE UNIT. (USD)]]*(($U$20-$U$21)/$U$20),Banco_Invoice[[#This Row],[ORIGINAL PRICE UNIT. (USD)]])</f>
        <v>3.4775979184593511</v>
      </c>
      <c r="W42" s="27">
        <f>Banco_Invoice[[#This Row],[PRICE UNIT. (USD)]]*Banco_Invoice[[#This Row],[QUANTITY / M]]</f>
        <v>1043.2793755378052</v>
      </c>
      <c r="X42" s="13">
        <v>73064000</v>
      </c>
      <c r="Y42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2" s="20" t="s">
        <v>200</v>
      </c>
    </row>
    <row r="43" spans="1:26">
      <c r="A43" s="21">
        <v>20</v>
      </c>
      <c r="B43" s="22" t="s">
        <v>66</v>
      </c>
      <c r="C43" s="21"/>
      <c r="D43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3" s="15" t="s">
        <v>103</v>
      </c>
      <c r="F43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3" s="13" t="s">
        <v>114</v>
      </c>
      <c r="H43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3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3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3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3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3" s="13" t="s">
        <v>116</v>
      </c>
      <c r="N43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3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3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3" s="13" t="s">
        <v>160</v>
      </c>
      <c r="R43" s="23">
        <v>210</v>
      </c>
      <c r="S43" s="24">
        <v>0.8872874999999999</v>
      </c>
      <c r="T43" s="25">
        <f>Banco_Invoice[[#This Row],[NET WEIGHT (Kg)]]*Banco_Invoice[[#This Row],[QUANTITY / M]]</f>
        <v>186.33037499999998</v>
      </c>
      <c r="U43" s="26">
        <v>4.7</v>
      </c>
      <c r="V43" s="26">
        <f>IF(AND($U$20&gt;0,$U$21&gt;0),Banco_Invoice[[#This Row],[ORIGINAL PRICE UNIT. (USD)]]*(($U$20-$U$21)/$U$20),Banco_Invoice[[#This Row],[ORIGINAL PRICE UNIT. (USD)]])</f>
        <v>4.6967558094134922</v>
      </c>
      <c r="W43" s="27">
        <f>Banco_Invoice[[#This Row],[PRICE UNIT. (USD)]]*Banco_Invoice[[#This Row],[QUANTITY / M]]</f>
        <v>986.31871997683334</v>
      </c>
      <c r="X43" s="13">
        <v>73064000</v>
      </c>
      <c r="Y43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3" s="20" t="s">
        <v>200</v>
      </c>
    </row>
    <row r="44" spans="1:26">
      <c r="A44" s="13">
        <v>21</v>
      </c>
      <c r="B44" s="22" t="s">
        <v>67</v>
      </c>
      <c r="C44" s="21"/>
      <c r="D4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4" s="15" t="s">
        <v>103</v>
      </c>
      <c r="F4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4" s="13" t="s">
        <v>114</v>
      </c>
      <c r="H4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4" s="13" t="s">
        <v>118</v>
      </c>
      <c r="N4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4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4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4" s="13" t="s">
        <v>160</v>
      </c>
      <c r="R44" s="23">
        <v>552</v>
      </c>
      <c r="S44" s="24">
        <v>1.3587750000000003</v>
      </c>
      <c r="T44" s="25">
        <f>Banco_Invoice[[#This Row],[NET WEIGHT (Kg)]]*Banco_Invoice[[#This Row],[QUANTITY / M]]</f>
        <v>750.04380000000015</v>
      </c>
      <c r="U44" s="26">
        <v>7.06</v>
      </c>
      <c r="V44" s="26">
        <f>IF(AND($U$20&gt;0,$U$21&gt;0),Banco_Invoice[[#This Row],[ORIGINAL PRICE UNIT. (USD)]]*(($U$20-$U$21)/$U$20),Banco_Invoice[[#This Row],[ORIGINAL PRICE UNIT. (USD)]])</f>
        <v>7.0551268115870744</v>
      </c>
      <c r="W44" s="27">
        <f>Banco_Invoice[[#This Row],[PRICE UNIT. (USD)]]*Banco_Invoice[[#This Row],[QUANTITY / M]]</f>
        <v>3894.4299999960649</v>
      </c>
      <c r="X44" s="13">
        <v>73064000</v>
      </c>
      <c r="Y44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4" s="20" t="s">
        <v>200</v>
      </c>
    </row>
    <row r="45" spans="1:26">
      <c r="A45" s="21">
        <v>22</v>
      </c>
      <c r="B45" s="22" t="s">
        <v>68</v>
      </c>
      <c r="C45" s="21"/>
      <c r="D4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5" s="15" t="s">
        <v>103</v>
      </c>
      <c r="F4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5" s="13" t="s">
        <v>114</v>
      </c>
      <c r="H4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5" s="13" t="s">
        <v>119</v>
      </c>
      <c r="N4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5" s="13" t="s">
        <v>160</v>
      </c>
      <c r="R45" s="23">
        <v>882</v>
      </c>
      <c r="S45" s="24">
        <v>1.8302624999999999</v>
      </c>
      <c r="T45" s="25">
        <f>Banco_Invoice[[#This Row],[NET WEIGHT (Kg)]]*Banco_Invoice[[#This Row],[QUANTITY / M]]</f>
        <v>1614.2915249999999</v>
      </c>
      <c r="U45" s="26">
        <v>9.51</v>
      </c>
      <c r="V45" s="26">
        <f>IF(AND($U$20&gt;0,$U$21&gt;0),Banco_Invoice[[#This Row],[ORIGINAL PRICE UNIT. (USD)]]*(($U$20-$U$21)/$U$20),Banco_Invoice[[#This Row],[ORIGINAL PRICE UNIT. (USD)]])</f>
        <v>9.503435690962192</v>
      </c>
      <c r="W45" s="27">
        <f>Banco_Invoice[[#This Row],[PRICE UNIT. (USD)]]*Banco_Invoice[[#This Row],[QUANTITY / M]]</f>
        <v>8382.0302794286526</v>
      </c>
      <c r="X45" s="13">
        <v>73064000</v>
      </c>
      <c r="Y45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5" s="20" t="s">
        <v>200</v>
      </c>
    </row>
    <row r="46" spans="1:26">
      <c r="A46" s="13">
        <v>23</v>
      </c>
      <c r="B46" s="22" t="s">
        <v>69</v>
      </c>
      <c r="C46" s="21"/>
      <c r="D4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6" s="15" t="s">
        <v>103</v>
      </c>
      <c r="F4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6" s="13" t="s">
        <v>114</v>
      </c>
      <c r="H4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6" s="13" t="s">
        <v>120</v>
      </c>
      <c r="N4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6" s="13" t="s">
        <v>160</v>
      </c>
      <c r="R46" s="23">
        <v>150</v>
      </c>
      <c r="S46" s="24">
        <v>2.3017500000000002</v>
      </c>
      <c r="T46" s="25">
        <f>Banco_Invoice[[#This Row],[NET WEIGHT (Kg)]]*Banco_Invoice[[#This Row],[QUANTITY / M]]</f>
        <v>345.26250000000005</v>
      </c>
      <c r="U46" s="26">
        <v>11.95</v>
      </c>
      <c r="V46" s="26">
        <f>IF(AND($U$20&gt;0,$U$21&gt;0),Banco_Invoice[[#This Row],[ORIGINAL PRICE UNIT. (USD)]]*(($U$20-$U$21)/$U$20),Banco_Invoice[[#This Row],[ORIGINAL PRICE UNIT. (USD)]])</f>
        <v>11.941751472870473</v>
      </c>
      <c r="W46" s="27">
        <f>Banco_Invoice[[#This Row],[PRICE UNIT. (USD)]]*Banco_Invoice[[#This Row],[QUANTITY / M]]</f>
        <v>1791.262720930571</v>
      </c>
      <c r="X46" s="13">
        <v>73064000</v>
      </c>
      <c r="Y46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6" s="20" t="s">
        <v>200</v>
      </c>
    </row>
    <row r="47" spans="1:26">
      <c r="A47" s="21">
        <v>24</v>
      </c>
      <c r="B47" s="22" t="s">
        <v>70</v>
      </c>
      <c r="C47" s="21"/>
      <c r="D4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7" s="15" t="s">
        <v>103</v>
      </c>
      <c r="F4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7" s="13" t="s">
        <v>114</v>
      </c>
      <c r="H4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7" s="13" t="s">
        <v>122</v>
      </c>
      <c r="N4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7" s="13" t="s">
        <v>160</v>
      </c>
      <c r="R47" s="23">
        <v>210</v>
      </c>
      <c r="S47" s="24">
        <v>3.6729000000000003</v>
      </c>
      <c r="T47" s="25">
        <f>Banco_Invoice[[#This Row],[NET WEIGHT (Kg)]]*Banco_Invoice[[#This Row],[QUANTITY / M]]</f>
        <v>771.30900000000008</v>
      </c>
      <c r="U47" s="26">
        <v>19.079999999999998</v>
      </c>
      <c r="V47" s="26">
        <f>IF(AND($U$20&gt;0,$U$21&gt;0),Banco_Invoice[[#This Row],[ORIGINAL PRICE UNIT. (USD)]]*(($U$20-$U$21)/$U$20),Banco_Invoice[[#This Row],[ORIGINAL PRICE UNIT. (USD)]])</f>
        <v>19.066829966725408</v>
      </c>
      <c r="W47" s="27">
        <f>Banco_Invoice[[#This Row],[PRICE UNIT. (USD)]]*Banco_Invoice[[#This Row],[QUANTITY / M]]</f>
        <v>4004.0342930123356</v>
      </c>
      <c r="X47" s="13">
        <v>73064000</v>
      </c>
      <c r="Y47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7" s="20" t="s">
        <v>201</v>
      </c>
    </row>
    <row r="48" spans="1:26">
      <c r="A48" s="13">
        <v>25</v>
      </c>
      <c r="B48" s="22" t="s">
        <v>71</v>
      </c>
      <c r="C48" s="21"/>
      <c r="D4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8" s="15" t="s">
        <v>103</v>
      </c>
      <c r="F4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8" s="13" t="s">
        <v>114</v>
      </c>
      <c r="H4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8" s="13" t="s">
        <v>124</v>
      </c>
      <c r="N4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8" s="13" t="s">
        <v>160</v>
      </c>
      <c r="R48" s="23">
        <v>210</v>
      </c>
      <c r="S48" s="24">
        <v>4.9302000000000001</v>
      </c>
      <c r="T48" s="25">
        <f>Banco_Invoice[[#This Row],[NET WEIGHT (Kg)]]*Banco_Invoice[[#This Row],[QUANTITY / M]]</f>
        <v>1035.3420000000001</v>
      </c>
      <c r="U48" s="26">
        <v>25.64</v>
      </c>
      <c r="V48" s="26">
        <f>IF(AND($U$20&gt;0,$U$21&gt;0),Banco_Invoice[[#This Row],[ORIGINAL PRICE UNIT. (USD)]]*(($U$20-$U$21)/$U$20),Banco_Invoice[[#This Row],[ORIGINAL PRICE UNIT. (USD)]])</f>
        <v>25.622301904970623</v>
      </c>
      <c r="W48" s="27">
        <f>Banco_Invoice[[#This Row],[PRICE UNIT. (USD)]]*Banco_Invoice[[#This Row],[QUANTITY / M]]</f>
        <v>5380.6834000438312</v>
      </c>
      <c r="X48" s="13">
        <v>73064000</v>
      </c>
      <c r="Y48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8" s="20" t="s">
        <v>201</v>
      </c>
    </row>
    <row r="49" spans="1:26">
      <c r="A49" s="21">
        <v>26</v>
      </c>
      <c r="B49" s="22" t="s">
        <v>72</v>
      </c>
      <c r="C49" s="21"/>
      <c r="D4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49" s="15" t="s">
        <v>103</v>
      </c>
      <c r="F4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49" s="13" t="s">
        <v>114</v>
      </c>
      <c r="H4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4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4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4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4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49" s="13" t="s">
        <v>126</v>
      </c>
      <c r="N4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4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4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49" s="13" t="s">
        <v>160</v>
      </c>
      <c r="R49" s="23">
        <v>204</v>
      </c>
      <c r="S49" s="24">
        <v>7.4447999999999999</v>
      </c>
      <c r="T49" s="25">
        <f>Banco_Invoice[[#This Row],[NET WEIGHT (Kg)]]*Banco_Invoice[[#This Row],[QUANTITY / M]]</f>
        <v>1518.7392</v>
      </c>
      <c r="U49" s="26">
        <v>38.700000000000003</v>
      </c>
      <c r="V49" s="26">
        <f>IF(AND($U$20&gt;0,$U$21&gt;0),Banco_Invoice[[#This Row],[ORIGINAL PRICE UNIT. (USD)]]*(($U$20-$U$21)/$U$20),Banco_Invoice[[#This Row],[ORIGINAL PRICE UNIT. (USD)]])</f>
        <v>38.673287196660027</v>
      </c>
      <c r="W49" s="27">
        <f>Banco_Invoice[[#This Row],[PRICE UNIT. (USD)]]*Banco_Invoice[[#This Row],[QUANTITY / M]]</f>
        <v>7889.3505881186456</v>
      </c>
      <c r="X49" s="13">
        <v>73064000</v>
      </c>
      <c r="Y49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49" s="20" t="s">
        <v>201</v>
      </c>
    </row>
    <row r="50" spans="1:26">
      <c r="A50" s="13">
        <v>27</v>
      </c>
      <c r="B50" s="22" t="s">
        <v>73</v>
      </c>
      <c r="C50" s="21"/>
      <c r="D50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0" s="15" t="s">
        <v>103</v>
      </c>
      <c r="F50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0" s="13" t="s">
        <v>114</v>
      </c>
      <c r="H50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0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0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0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0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0" s="13" t="s">
        <v>130</v>
      </c>
      <c r="N50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0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0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0" s="13" t="s">
        <v>160</v>
      </c>
      <c r="R50" s="23">
        <v>240</v>
      </c>
      <c r="S50" s="24">
        <v>0.95199999999999996</v>
      </c>
      <c r="T50" s="25">
        <f>Banco_Invoice[[#This Row],[NET WEIGHT (Kg)]]*Banco_Invoice[[#This Row],[QUANTITY / M]]</f>
        <v>228.48</v>
      </c>
      <c r="U50" s="26">
        <v>5</v>
      </c>
      <c r="V50" s="26">
        <f>IF(AND($U$20&gt;0,$U$21&gt;0),Banco_Invoice[[#This Row],[ORIGINAL PRICE UNIT. (USD)]]*(($U$20-$U$21)/$U$20),Banco_Invoice[[#This Row],[ORIGINAL PRICE UNIT. (USD)]])</f>
        <v>4.9965487334186083</v>
      </c>
      <c r="W50" s="27">
        <f>Banco_Invoice[[#This Row],[PRICE UNIT. (USD)]]*Banco_Invoice[[#This Row],[QUANTITY / M]]</f>
        <v>1199.171696020466</v>
      </c>
      <c r="X50" s="13">
        <v>73064000</v>
      </c>
      <c r="Y50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0" s="20" t="s">
        <v>202</v>
      </c>
    </row>
    <row r="51" spans="1:26">
      <c r="A51" s="21">
        <v>28</v>
      </c>
      <c r="B51" s="22" t="s">
        <v>74</v>
      </c>
      <c r="C51" s="21"/>
      <c r="D51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1" s="15" t="s">
        <v>103</v>
      </c>
      <c r="F51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1" s="13" t="s">
        <v>114</v>
      </c>
      <c r="H51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1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1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1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1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1" s="13" t="s">
        <v>131</v>
      </c>
      <c r="N51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1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1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1" s="13" t="s">
        <v>160</v>
      </c>
      <c r="R51" s="23">
        <v>240</v>
      </c>
      <c r="S51" s="24">
        <v>1.458</v>
      </c>
      <c r="T51" s="25">
        <f>Banco_Invoice[[#This Row],[NET WEIGHT (Kg)]]*Banco_Invoice[[#This Row],[QUANTITY / M]]</f>
        <v>349.92</v>
      </c>
      <c r="U51" s="26">
        <v>7.65</v>
      </c>
      <c r="V51" s="26">
        <f>IF(AND($U$20&gt;0,$U$21&gt;0),Banco_Invoice[[#This Row],[ORIGINAL PRICE UNIT. (USD)]]*(($U$20-$U$21)/$U$20),Banco_Invoice[[#This Row],[ORIGINAL PRICE UNIT. (USD)]])</f>
        <v>7.6447195621304704</v>
      </c>
      <c r="W51" s="27">
        <f>Banco_Invoice[[#This Row],[PRICE UNIT. (USD)]]*Banco_Invoice[[#This Row],[QUANTITY / M]]</f>
        <v>1834.7326949113128</v>
      </c>
      <c r="X51" s="13">
        <v>73064000</v>
      </c>
      <c r="Y51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1" s="20" t="s">
        <v>202</v>
      </c>
    </row>
    <row r="52" spans="1:26">
      <c r="A52" s="13">
        <v>29</v>
      </c>
      <c r="B52" s="22" t="s">
        <v>75</v>
      </c>
      <c r="C52" s="21"/>
      <c r="D52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2" s="15" t="s">
        <v>103</v>
      </c>
      <c r="F52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2" s="13" t="s">
        <v>114</v>
      </c>
      <c r="H52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2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2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2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2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2" s="13" t="s">
        <v>132</v>
      </c>
      <c r="N52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2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2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2" s="13" t="s">
        <v>160</v>
      </c>
      <c r="R52" s="23">
        <v>240</v>
      </c>
      <c r="S52" s="24">
        <v>1.964</v>
      </c>
      <c r="T52" s="25">
        <f>Banco_Invoice[[#This Row],[NET WEIGHT (Kg)]]*Banco_Invoice[[#This Row],[QUANTITY / M]]</f>
        <v>471.36</v>
      </c>
      <c r="U52" s="26">
        <v>10.31</v>
      </c>
      <c r="V52" s="26">
        <f>IF(AND($U$20&gt;0,$U$21&gt;0),Banco_Invoice[[#This Row],[ORIGINAL PRICE UNIT. (USD)]]*(($U$20-$U$21)/$U$20),Banco_Invoice[[#This Row],[ORIGINAL PRICE UNIT. (USD)]])</f>
        <v>10.30288348830917</v>
      </c>
      <c r="W52" s="27">
        <f>Banco_Invoice[[#This Row],[PRICE UNIT. (USD)]]*Banco_Invoice[[#This Row],[QUANTITY / M]]</f>
        <v>2472.692037194201</v>
      </c>
      <c r="X52" s="13">
        <v>73064000</v>
      </c>
      <c r="Y52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2" s="20" t="s">
        <v>202</v>
      </c>
    </row>
    <row r="53" spans="1:26">
      <c r="A53" s="21">
        <v>30</v>
      </c>
      <c r="B53" s="22" t="s">
        <v>76</v>
      </c>
      <c r="C53" s="21"/>
      <c r="D53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3" s="15" t="s">
        <v>104</v>
      </c>
      <c r="F53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3" s="13">
        <v>304</v>
      </c>
      <c r="H53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3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3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3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3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3" s="13" t="s">
        <v>133</v>
      </c>
      <c r="N53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3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3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3" s="13" t="s">
        <v>160</v>
      </c>
      <c r="R53" s="23">
        <v>210</v>
      </c>
      <c r="S53" s="24">
        <v>1.0960000000000001</v>
      </c>
      <c r="T53" s="25">
        <f>Banco_Invoice[[#This Row],[NET WEIGHT (Kg)]]*Banco_Invoice[[#This Row],[QUANTITY / M]]</f>
        <v>230.16000000000003</v>
      </c>
      <c r="U53" s="26">
        <v>2.35</v>
      </c>
      <c r="V53" s="26">
        <f>IF(AND($U$20&gt;0,$U$21&gt;0),Banco_Invoice[[#This Row],[ORIGINAL PRICE UNIT. (USD)]]*(($U$20-$U$21)/$U$20),Banco_Invoice[[#This Row],[ORIGINAL PRICE UNIT. (USD)]])</f>
        <v>2.3483779047067461</v>
      </c>
      <c r="W53" s="27">
        <f>Banco_Invoice[[#This Row],[PRICE UNIT. (USD)]]*Banco_Invoice[[#This Row],[QUANTITY / M]]</f>
        <v>493.15935998841667</v>
      </c>
      <c r="X53" s="13">
        <v>73066100</v>
      </c>
      <c r="Y53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3" s="20" t="s">
        <v>203</v>
      </c>
    </row>
    <row r="54" spans="1:26">
      <c r="A54" s="13">
        <v>31</v>
      </c>
      <c r="B54" s="22" t="s">
        <v>77</v>
      </c>
      <c r="C54" s="21"/>
      <c r="D5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4" s="15" t="s">
        <v>104</v>
      </c>
      <c r="F5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4" s="13">
        <v>304</v>
      </c>
      <c r="H5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4" s="13" t="s">
        <v>134</v>
      </c>
      <c r="N5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4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4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4" s="13" t="s">
        <v>160</v>
      </c>
      <c r="R54" s="23">
        <v>210</v>
      </c>
      <c r="S54" s="24">
        <v>1.2866</v>
      </c>
      <c r="T54" s="25">
        <f>Banco_Invoice[[#This Row],[NET WEIGHT (Kg)]]*Banco_Invoice[[#This Row],[QUANTITY / M]]</f>
        <v>270.18599999999998</v>
      </c>
      <c r="U54" s="26">
        <v>2.75</v>
      </c>
      <c r="V54" s="26">
        <f>IF(AND($U$20&gt;0,$U$21&gt;0),Banco_Invoice[[#This Row],[ORIGINAL PRICE UNIT. (USD)]]*(($U$20-$U$21)/$U$20),Banco_Invoice[[#This Row],[ORIGINAL PRICE UNIT. (USD)]])</f>
        <v>2.7481018033802345</v>
      </c>
      <c r="W54" s="27">
        <f>Banco_Invoice[[#This Row],[PRICE UNIT. (USD)]]*Banco_Invoice[[#This Row],[QUANTITY / M]]</f>
        <v>577.1013787098492</v>
      </c>
      <c r="X54" s="13">
        <v>73066100</v>
      </c>
      <c r="Y54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4" s="20" t="s">
        <v>203</v>
      </c>
    </row>
    <row r="55" spans="1:26">
      <c r="A55" s="21">
        <v>32</v>
      </c>
      <c r="B55" s="22" t="s">
        <v>78</v>
      </c>
      <c r="C55" s="21"/>
      <c r="D5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5" s="15" t="s">
        <v>104</v>
      </c>
      <c r="F5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5" s="13">
        <v>304</v>
      </c>
      <c r="H5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5" s="13" t="s">
        <v>135</v>
      </c>
      <c r="N5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5" s="13" t="s">
        <v>160</v>
      </c>
      <c r="R55" s="23">
        <v>420</v>
      </c>
      <c r="S55" s="24">
        <v>1.4769000000000001</v>
      </c>
      <c r="T55" s="25">
        <f>Banco_Invoice[[#This Row],[NET WEIGHT (Kg)]]*Banco_Invoice[[#This Row],[QUANTITY / M]]</f>
        <v>620.298</v>
      </c>
      <c r="U55" s="26">
        <v>3.14</v>
      </c>
      <c r="V55" s="26">
        <f>IF(AND($U$20&gt;0,$U$21&gt;0),Banco_Invoice[[#This Row],[ORIGINAL PRICE UNIT. (USD)]]*(($U$20-$U$21)/$U$20),Banco_Invoice[[#This Row],[ORIGINAL PRICE UNIT. (USD)]])</f>
        <v>3.1378326045868858</v>
      </c>
      <c r="W55" s="27">
        <f>Banco_Invoice[[#This Row],[PRICE UNIT. (USD)]]*Banco_Invoice[[#This Row],[QUANTITY / M]]</f>
        <v>1317.8896939264921</v>
      </c>
      <c r="X55" s="13">
        <v>73066100</v>
      </c>
      <c r="Y55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5" s="20" t="s">
        <v>203</v>
      </c>
    </row>
    <row r="56" spans="1:26">
      <c r="A56" s="13">
        <v>33</v>
      </c>
      <c r="B56" s="22" t="s">
        <v>79</v>
      </c>
      <c r="C56" s="21"/>
      <c r="D5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6" s="15" t="s">
        <v>105</v>
      </c>
      <c r="F5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6" s="13">
        <v>304</v>
      </c>
      <c r="H5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6" s="13" t="s">
        <v>136</v>
      </c>
      <c r="N5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6" s="13" t="s">
        <v>160</v>
      </c>
      <c r="R56" s="23">
        <v>624</v>
      </c>
      <c r="S56" s="24">
        <v>0.64232999999999996</v>
      </c>
      <c r="T56" s="25">
        <f>Banco_Invoice[[#This Row],[NET WEIGHT (Kg)]]*Banco_Invoice[[#This Row],[QUANTITY / M]]</f>
        <v>400.81392</v>
      </c>
      <c r="U56" s="26">
        <v>1.4</v>
      </c>
      <c r="V56" s="26">
        <f>IF(AND($U$20&gt;0,$U$21&gt;0),Banco_Invoice[[#This Row],[ORIGINAL PRICE UNIT. (USD)]]*(($U$20-$U$21)/$U$20),Banco_Invoice[[#This Row],[ORIGINAL PRICE UNIT. (USD)]])</f>
        <v>1.3990336453572103</v>
      </c>
      <c r="W56" s="27">
        <f>Banco_Invoice[[#This Row],[PRICE UNIT. (USD)]]*Banco_Invoice[[#This Row],[QUANTITY / M]]</f>
        <v>872.9969947028992</v>
      </c>
      <c r="X56" s="13">
        <v>73066100</v>
      </c>
      <c r="Y56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6" s="20" t="s">
        <v>204</v>
      </c>
    </row>
    <row r="57" spans="1:26">
      <c r="A57" s="21">
        <v>34</v>
      </c>
      <c r="B57" s="22" t="s">
        <v>80</v>
      </c>
      <c r="C57" s="21"/>
      <c r="D5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7" s="15" t="s">
        <v>105</v>
      </c>
      <c r="F5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7" s="13">
        <v>304</v>
      </c>
      <c r="H5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7" s="13" t="s">
        <v>137</v>
      </c>
      <c r="N5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7" s="13" t="s">
        <v>160</v>
      </c>
      <c r="R57" s="23">
        <v>396</v>
      </c>
      <c r="S57" s="24">
        <v>0.88022999999999996</v>
      </c>
      <c r="T57" s="25">
        <f>Banco_Invoice[[#This Row],[NET WEIGHT (Kg)]]*Banco_Invoice[[#This Row],[QUANTITY / M]]</f>
        <v>348.57107999999999</v>
      </c>
      <c r="U57" s="26">
        <v>1.9</v>
      </c>
      <c r="V57" s="26">
        <f>IF(AND($U$20&gt;0,$U$21&gt;0),Banco_Invoice[[#This Row],[ORIGINAL PRICE UNIT. (USD)]]*(($U$20-$U$21)/$U$20),Banco_Invoice[[#This Row],[ORIGINAL PRICE UNIT. (USD)]])</f>
        <v>1.898688518699071</v>
      </c>
      <c r="W57" s="27">
        <f>Banco_Invoice[[#This Row],[PRICE UNIT. (USD)]]*Banco_Invoice[[#This Row],[QUANTITY / M]]</f>
        <v>751.88065340483206</v>
      </c>
      <c r="X57" s="13">
        <v>73066100</v>
      </c>
      <c r="Y57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7" s="20" t="s">
        <v>204</v>
      </c>
    </row>
    <row r="58" spans="1:26">
      <c r="A58" s="13">
        <v>35</v>
      </c>
      <c r="B58" s="22" t="s">
        <v>81</v>
      </c>
      <c r="C58" s="21"/>
      <c r="D5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8" s="15" t="s">
        <v>105</v>
      </c>
      <c r="F5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8" s="13">
        <v>304</v>
      </c>
      <c r="H5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8" s="13" t="s">
        <v>138</v>
      </c>
      <c r="N5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8" s="13" t="s">
        <v>160</v>
      </c>
      <c r="R58" s="23">
        <v>504</v>
      </c>
      <c r="S58" s="24">
        <v>1.3560299999999998</v>
      </c>
      <c r="T58" s="25">
        <f>Banco_Invoice[[#This Row],[NET WEIGHT (Kg)]]*Banco_Invoice[[#This Row],[QUANTITY / M]]</f>
        <v>683.43911999999989</v>
      </c>
      <c r="U58" s="26">
        <v>2.91</v>
      </c>
      <c r="V58" s="26">
        <f>IF(AND($U$20&gt;0,$U$21&gt;0),Banco_Invoice[[#This Row],[ORIGINAL PRICE UNIT. (USD)]]*(($U$20-$U$21)/$U$20),Banco_Invoice[[#This Row],[ORIGINAL PRICE UNIT. (USD)]])</f>
        <v>2.9079913628496299</v>
      </c>
      <c r="W58" s="27">
        <f>Banco_Invoice[[#This Row],[PRICE UNIT. (USD)]]*Banco_Invoice[[#This Row],[QUANTITY / M]]</f>
        <v>1465.6276468762135</v>
      </c>
      <c r="X58" s="13">
        <v>73066100</v>
      </c>
      <c r="Y58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8" s="20" t="s">
        <v>204</v>
      </c>
    </row>
    <row r="59" spans="1:26">
      <c r="A59" s="21">
        <v>36</v>
      </c>
      <c r="B59" s="22" t="s">
        <v>82</v>
      </c>
      <c r="C59" s="21"/>
      <c r="D5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59" s="15" t="s">
        <v>105</v>
      </c>
      <c r="F5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59" s="13">
        <v>304</v>
      </c>
      <c r="H5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5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5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5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5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59" s="13" t="s">
        <v>139</v>
      </c>
      <c r="N5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5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5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59" s="13" t="s">
        <v>160</v>
      </c>
      <c r="R59" s="23">
        <v>300</v>
      </c>
      <c r="S59" s="24">
        <v>1.5939299999999998</v>
      </c>
      <c r="T59" s="25">
        <f>Banco_Invoice[[#This Row],[NET WEIGHT (Kg)]]*Banco_Invoice[[#This Row],[QUANTITY / M]]</f>
        <v>478.17899999999997</v>
      </c>
      <c r="U59" s="26">
        <v>3.41</v>
      </c>
      <c r="V59" s="26">
        <f>IF(AND($U$20&gt;0,$U$21&gt;0),Banco_Invoice[[#This Row],[ORIGINAL PRICE UNIT. (USD)]]*(($U$20-$U$21)/$U$20),Banco_Invoice[[#This Row],[ORIGINAL PRICE UNIT. (USD)]])</f>
        <v>3.407646236191491</v>
      </c>
      <c r="W59" s="27">
        <f>Banco_Invoice[[#This Row],[PRICE UNIT. (USD)]]*Banco_Invoice[[#This Row],[QUANTITY / M]]</f>
        <v>1022.2938708574472</v>
      </c>
      <c r="X59" s="13">
        <v>73066100</v>
      </c>
      <c r="Y59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59" s="20" t="s">
        <v>204</v>
      </c>
    </row>
    <row r="60" spans="1:26">
      <c r="A60" s="13">
        <v>37</v>
      </c>
      <c r="B60" s="22" t="s">
        <v>83</v>
      </c>
      <c r="C60" s="21"/>
      <c r="D60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0" s="15" t="s">
        <v>105</v>
      </c>
      <c r="F60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0" s="13">
        <v>304</v>
      </c>
      <c r="H60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0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0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0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0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0" s="13" t="s">
        <v>140</v>
      </c>
      <c r="N60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0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0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0" s="13" t="s">
        <v>160</v>
      </c>
      <c r="R60" s="23">
        <v>396</v>
      </c>
      <c r="S60" s="24">
        <v>1.8318299999999998</v>
      </c>
      <c r="T60" s="25">
        <f>Banco_Invoice[[#This Row],[NET WEIGHT (Kg)]]*Banco_Invoice[[#This Row],[QUANTITY / M]]</f>
        <v>725.40467999999998</v>
      </c>
      <c r="U60" s="26">
        <v>3.91</v>
      </c>
      <c r="V60" s="26">
        <f>IF(AND($U$20&gt;0,$U$21&gt;0),Banco_Invoice[[#This Row],[ORIGINAL PRICE UNIT. (USD)]]*(($U$20-$U$21)/$U$20),Banco_Invoice[[#This Row],[ORIGINAL PRICE UNIT. (USD)]])</f>
        <v>3.9073011095333516</v>
      </c>
      <c r="W60" s="27">
        <f>Banco_Invoice[[#This Row],[PRICE UNIT. (USD)]]*Banco_Invoice[[#This Row],[QUANTITY / M]]</f>
        <v>1547.2912393752072</v>
      </c>
      <c r="X60" s="13">
        <v>73066100</v>
      </c>
      <c r="Y60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0" s="20" t="s">
        <v>204</v>
      </c>
    </row>
    <row r="61" spans="1:26">
      <c r="A61" s="21">
        <v>38</v>
      </c>
      <c r="B61" s="22" t="s">
        <v>84</v>
      </c>
      <c r="C61" s="21"/>
      <c r="D61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1" s="15" t="s">
        <v>105</v>
      </c>
      <c r="F61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1" s="13">
        <v>304</v>
      </c>
      <c r="H61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1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1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1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1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1" s="13" t="s">
        <v>141</v>
      </c>
      <c r="N61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1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1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1" s="13" t="s">
        <v>160</v>
      </c>
      <c r="R61" s="23">
        <v>210</v>
      </c>
      <c r="S61" s="24">
        <v>2.3076300000000001</v>
      </c>
      <c r="T61" s="25">
        <f>Banco_Invoice[[#This Row],[NET WEIGHT (Kg)]]*Banco_Invoice[[#This Row],[QUANTITY / M]]</f>
        <v>484.60230000000001</v>
      </c>
      <c r="U61" s="26">
        <v>4.92</v>
      </c>
      <c r="V61" s="26">
        <f>IF(AND($U$20&gt;0,$U$21&gt;0),Banco_Invoice[[#This Row],[ORIGINAL PRICE UNIT. (USD)]]*(($U$20-$U$21)/$U$20),Banco_Invoice[[#This Row],[ORIGINAL PRICE UNIT. (USD)]])</f>
        <v>4.9166039536839108</v>
      </c>
      <c r="W61" s="27">
        <f>Banco_Invoice[[#This Row],[PRICE UNIT. (USD)]]*Banco_Invoice[[#This Row],[QUANTITY / M]]</f>
        <v>1032.4868302736213</v>
      </c>
      <c r="X61" s="13">
        <v>73066100</v>
      </c>
      <c r="Y61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1" s="20" t="s">
        <v>204</v>
      </c>
    </row>
    <row r="62" spans="1:26">
      <c r="A62" s="13">
        <v>39</v>
      </c>
      <c r="B62" s="22" t="s">
        <v>85</v>
      </c>
      <c r="C62" s="21"/>
      <c r="D62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2" s="15" t="s">
        <v>105</v>
      </c>
      <c r="F62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2" s="13">
        <v>304</v>
      </c>
      <c r="H62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2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2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2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2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2" s="13" t="s">
        <v>142</v>
      </c>
      <c r="N62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2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2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2" s="13" t="s">
        <v>160</v>
      </c>
      <c r="R62" s="23">
        <v>120</v>
      </c>
      <c r="S62" s="24">
        <v>3.4971299999999998</v>
      </c>
      <c r="T62" s="25">
        <f>Banco_Invoice[[#This Row],[NET WEIGHT (Kg)]]*Banco_Invoice[[#This Row],[QUANTITY / M]]</f>
        <v>419.65559999999999</v>
      </c>
      <c r="U62" s="26">
        <v>7.43</v>
      </c>
      <c r="V62" s="26">
        <f>IF(AND($U$20&gt;0,$U$21&gt;0),Banco_Invoice[[#This Row],[ORIGINAL PRICE UNIT. (USD)]]*(($U$20-$U$21)/$U$20),Banco_Invoice[[#This Row],[ORIGINAL PRICE UNIT. (USD)]])</f>
        <v>7.4248714178600519</v>
      </c>
      <c r="W62" s="27">
        <f>Banco_Invoice[[#This Row],[PRICE UNIT. (USD)]]*Banco_Invoice[[#This Row],[QUANTITY / M]]</f>
        <v>890.98457014320627</v>
      </c>
      <c r="X62" s="13">
        <v>73066100</v>
      </c>
      <c r="Y62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2" s="20" t="s">
        <v>204</v>
      </c>
    </row>
    <row r="63" spans="1:26">
      <c r="A63" s="21">
        <v>40</v>
      </c>
      <c r="B63" s="22" t="s">
        <v>86</v>
      </c>
      <c r="C63" s="21"/>
      <c r="D63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3" s="15" t="s">
        <v>106</v>
      </c>
      <c r="F63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3" s="13">
        <v>304</v>
      </c>
      <c r="H63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3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3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3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3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3" s="13" t="s">
        <v>143</v>
      </c>
      <c r="N63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3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3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3" s="13" t="s">
        <v>160</v>
      </c>
      <c r="R63" s="23">
        <v>300</v>
      </c>
      <c r="S63" s="24">
        <v>3.0451000000000001</v>
      </c>
      <c r="T63" s="25">
        <f>Banco_Invoice[[#This Row],[NET WEIGHT (Kg)]]*Banco_Invoice[[#This Row],[QUANTITY / M]]</f>
        <v>913.53000000000009</v>
      </c>
      <c r="U63" s="26">
        <v>6.51</v>
      </c>
      <c r="V63" s="26">
        <f>IF(AND($U$20&gt;0,$U$21&gt;0),Banco_Invoice[[#This Row],[ORIGINAL PRICE UNIT. (USD)]]*(($U$20-$U$21)/$U$20),Banco_Invoice[[#This Row],[ORIGINAL PRICE UNIT. (USD)]])</f>
        <v>6.5055064509110272</v>
      </c>
      <c r="W63" s="27">
        <f>Banco_Invoice[[#This Row],[PRICE UNIT. (USD)]]*Banco_Invoice[[#This Row],[QUANTITY / M]]</f>
        <v>1951.6519352733083</v>
      </c>
      <c r="X63" s="13">
        <v>73066100</v>
      </c>
      <c r="Y63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3" s="20" t="s">
        <v>205</v>
      </c>
    </row>
    <row r="64" spans="1:26">
      <c r="A64" s="13">
        <v>41</v>
      </c>
      <c r="B64" s="22" t="s">
        <v>87</v>
      </c>
      <c r="C64" s="21"/>
      <c r="D6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4" s="15" t="s">
        <v>106</v>
      </c>
      <c r="F6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4" s="13">
        <v>304</v>
      </c>
      <c r="H6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4" s="13" t="s">
        <v>144</v>
      </c>
      <c r="N6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4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4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4" s="13" t="s">
        <v>160</v>
      </c>
      <c r="R64" s="23">
        <v>210</v>
      </c>
      <c r="S64" s="24">
        <v>4.6311</v>
      </c>
      <c r="T64" s="25">
        <f>Banco_Invoice[[#This Row],[NET WEIGHT (Kg)]]*Banco_Invoice[[#This Row],[QUANTITY / M]]</f>
        <v>972.53099999999995</v>
      </c>
      <c r="U64" s="26">
        <v>9.86</v>
      </c>
      <c r="V64" s="26">
        <f>IF(AND($U$20&gt;0,$U$21&gt;0),Banco_Invoice[[#This Row],[ORIGINAL PRICE UNIT. (USD)]]*(($U$20-$U$21)/$U$20),Banco_Invoice[[#This Row],[ORIGINAL PRICE UNIT. (USD)]])</f>
        <v>9.8531941023014955</v>
      </c>
      <c r="W64" s="27">
        <f>Banco_Invoice[[#This Row],[PRICE UNIT. (USD)]]*Banco_Invoice[[#This Row],[QUANTITY / M]]</f>
        <v>2069.170761483314</v>
      </c>
      <c r="X64" s="13">
        <v>73066100</v>
      </c>
      <c r="Y64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4" s="20" t="s">
        <v>205</v>
      </c>
    </row>
    <row r="65" spans="1:26">
      <c r="A65" s="21">
        <v>42</v>
      </c>
      <c r="B65" s="22" t="s">
        <v>88</v>
      </c>
      <c r="C65" s="21"/>
      <c r="D6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5" s="15" t="s">
        <v>106</v>
      </c>
      <c r="F6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5" s="13">
        <v>304</v>
      </c>
      <c r="H6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5" s="13" t="s">
        <v>145</v>
      </c>
      <c r="N6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5" s="13" t="s">
        <v>160</v>
      </c>
      <c r="R65" s="23">
        <v>210</v>
      </c>
      <c r="S65" s="24">
        <v>2.06</v>
      </c>
      <c r="T65" s="25">
        <f>Banco_Invoice[[#This Row],[NET WEIGHT (Kg)]]*Banco_Invoice[[#This Row],[QUANTITY / M]]</f>
        <v>432.6</v>
      </c>
      <c r="U65" s="26">
        <v>4.41</v>
      </c>
      <c r="V65" s="26">
        <f>IF(AND($U$20&gt;0,$U$21&gt;0),Banco_Invoice[[#This Row],[ORIGINAL PRICE UNIT. (USD)]]*(($U$20-$U$21)/$U$20),Banco_Invoice[[#This Row],[ORIGINAL PRICE UNIT. (USD)]])</f>
        <v>4.4069559828752123</v>
      </c>
      <c r="W65" s="27">
        <f>Banco_Invoice[[#This Row],[PRICE UNIT. (USD)]]*Banco_Invoice[[#This Row],[QUANTITY / M]]</f>
        <v>925.46075640379456</v>
      </c>
      <c r="X65" s="13">
        <v>73066100</v>
      </c>
      <c r="Y65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5" s="20" t="s">
        <v>206</v>
      </c>
    </row>
    <row r="66" spans="1:26">
      <c r="A66" s="13">
        <v>43</v>
      </c>
      <c r="B66" s="22" t="s">
        <v>89</v>
      </c>
      <c r="C66" s="21"/>
      <c r="D6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6" s="15" t="s">
        <v>107</v>
      </c>
      <c r="F6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6" s="13">
        <v>304</v>
      </c>
      <c r="H6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6" s="13" t="s">
        <v>146</v>
      </c>
      <c r="N6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6" s="13" t="s">
        <v>160</v>
      </c>
      <c r="R66" s="23">
        <v>1572</v>
      </c>
      <c r="S66" s="24">
        <v>0.87134999999999996</v>
      </c>
      <c r="T66" s="25">
        <f>Banco_Invoice[[#This Row],[NET WEIGHT (Kg)]]*Banco_Invoice[[#This Row],[QUANTITY / M]]</f>
        <v>1369.7621999999999</v>
      </c>
      <c r="U66" s="26">
        <v>1.9</v>
      </c>
      <c r="V66" s="26">
        <f>IF(AND($U$20&gt;0,$U$21&gt;0),Banco_Invoice[[#This Row],[ORIGINAL PRICE UNIT. (USD)]]*(($U$20-$U$21)/$U$20),Banco_Invoice[[#This Row],[ORIGINAL PRICE UNIT. (USD)]])</f>
        <v>1.898688518699071</v>
      </c>
      <c r="W66" s="27">
        <f>Banco_Invoice[[#This Row],[PRICE UNIT. (USD)]]*Banco_Invoice[[#This Row],[QUANTITY / M]]</f>
        <v>2984.7383513949394</v>
      </c>
      <c r="X66" s="13">
        <v>73066100</v>
      </c>
      <c r="Y66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6" s="20" t="s">
        <v>207</v>
      </c>
    </row>
    <row r="67" spans="1:26">
      <c r="A67" s="21">
        <v>44</v>
      </c>
      <c r="B67" s="22" t="s">
        <v>90</v>
      </c>
      <c r="C67" s="21"/>
      <c r="D6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7" s="15" t="s">
        <v>107</v>
      </c>
      <c r="F6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7" s="13">
        <v>304</v>
      </c>
      <c r="H6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7" s="13" t="s">
        <v>147</v>
      </c>
      <c r="N6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7" s="13" t="s">
        <v>160</v>
      </c>
      <c r="R67" s="23">
        <v>1572</v>
      </c>
      <c r="S67" s="24">
        <v>1.3423499999999999</v>
      </c>
      <c r="T67" s="25">
        <f>Banco_Invoice[[#This Row],[NET WEIGHT (Kg)]]*Banco_Invoice[[#This Row],[QUANTITY / M]]</f>
        <v>2110.1741999999999</v>
      </c>
      <c r="U67" s="26">
        <v>2.91</v>
      </c>
      <c r="V67" s="26">
        <f>IF(AND($U$20&gt;0,$U$21&gt;0),Banco_Invoice[[#This Row],[ORIGINAL PRICE UNIT. (USD)]]*(($U$20-$U$21)/$U$20),Banco_Invoice[[#This Row],[ORIGINAL PRICE UNIT. (USD)]])</f>
        <v>2.9079913628496299</v>
      </c>
      <c r="W67" s="27">
        <f>Banco_Invoice[[#This Row],[PRICE UNIT. (USD)]]*Banco_Invoice[[#This Row],[QUANTITY / M]]</f>
        <v>4571.3624223996185</v>
      </c>
      <c r="X67" s="13">
        <v>73066100</v>
      </c>
      <c r="Y67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7" s="20" t="s">
        <v>207</v>
      </c>
    </row>
    <row r="68" spans="1:26">
      <c r="A68" s="13">
        <v>45</v>
      </c>
      <c r="B68" s="22" t="s">
        <v>91</v>
      </c>
      <c r="C68" s="21"/>
      <c r="D6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8" s="15" t="s">
        <v>107</v>
      </c>
      <c r="F6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8" s="13">
        <v>304</v>
      </c>
      <c r="H6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8" s="13" t="s">
        <v>148</v>
      </c>
      <c r="N6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8" s="13" t="s">
        <v>160</v>
      </c>
      <c r="R68" s="23">
        <v>3204</v>
      </c>
      <c r="S68" s="24">
        <v>1.8133499999999998</v>
      </c>
      <c r="T68" s="25">
        <f>Banco_Invoice[[#This Row],[NET WEIGHT (Kg)]]*Banco_Invoice[[#This Row],[QUANTITY / M]]</f>
        <v>5809.9733999999989</v>
      </c>
      <c r="U68" s="26">
        <v>3.91</v>
      </c>
      <c r="V68" s="26">
        <f>IF(AND($U$20&gt;0,$U$21&gt;0),Banco_Invoice[[#This Row],[ORIGINAL PRICE UNIT. (USD)]]*(($U$20-$U$21)/$U$20),Banco_Invoice[[#This Row],[ORIGINAL PRICE UNIT. (USD)]])</f>
        <v>3.9073011095333516</v>
      </c>
      <c r="W68" s="27">
        <f>Banco_Invoice[[#This Row],[PRICE UNIT. (USD)]]*Banco_Invoice[[#This Row],[QUANTITY / M]]</f>
        <v>12518.992754944858</v>
      </c>
      <c r="X68" s="13">
        <v>73066100</v>
      </c>
      <c r="Y68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8" s="20" t="s">
        <v>207</v>
      </c>
    </row>
    <row r="69" spans="1:26">
      <c r="A69" s="21">
        <v>46</v>
      </c>
      <c r="B69" s="22" t="s">
        <v>92</v>
      </c>
      <c r="C69" s="21"/>
      <c r="D6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69" s="15" t="s">
        <v>107</v>
      </c>
      <c r="F6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69" s="13">
        <v>304</v>
      </c>
      <c r="H6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6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6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6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6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69" s="13" t="s">
        <v>149</v>
      </c>
      <c r="N6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6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6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69" s="13" t="s">
        <v>160</v>
      </c>
      <c r="R69" s="23">
        <v>1572</v>
      </c>
      <c r="S69" s="24">
        <v>2.2843499999999999</v>
      </c>
      <c r="T69" s="25">
        <f>Banco_Invoice[[#This Row],[NET WEIGHT (Kg)]]*Banco_Invoice[[#This Row],[QUANTITY / M]]</f>
        <v>3590.9982</v>
      </c>
      <c r="U69" s="26">
        <v>4.92</v>
      </c>
      <c r="V69" s="26">
        <f>IF(AND($U$20&gt;0,$U$21&gt;0),Banco_Invoice[[#This Row],[ORIGINAL PRICE UNIT. (USD)]]*(($U$20-$U$21)/$U$20),Banco_Invoice[[#This Row],[ORIGINAL PRICE UNIT. (USD)]])</f>
        <v>4.9166039536839108</v>
      </c>
      <c r="W69" s="27">
        <f>Banco_Invoice[[#This Row],[PRICE UNIT. (USD)]]*Banco_Invoice[[#This Row],[QUANTITY / M]]</f>
        <v>7728.9014151911078</v>
      </c>
      <c r="X69" s="13">
        <v>73066100</v>
      </c>
      <c r="Y69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69" s="20" t="s">
        <v>207</v>
      </c>
    </row>
    <row r="70" spans="1:26">
      <c r="A70" s="13">
        <v>47</v>
      </c>
      <c r="B70" s="22" t="s">
        <v>93</v>
      </c>
      <c r="C70" s="21"/>
      <c r="D70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70" s="15" t="s">
        <v>108</v>
      </c>
      <c r="F70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70" s="13">
        <v>304</v>
      </c>
      <c r="H70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70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70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70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70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70" s="13" t="s">
        <v>150</v>
      </c>
      <c r="N70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70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70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70" s="13" t="s">
        <v>160</v>
      </c>
      <c r="R70" s="23">
        <v>300</v>
      </c>
      <c r="S70" s="24">
        <v>2.3863999999999996</v>
      </c>
      <c r="T70" s="25">
        <f>Banco_Invoice[[#This Row],[NET WEIGHT (Kg)]]*Banco_Invoice[[#This Row],[QUANTITY / M]]</f>
        <v>715.91999999999985</v>
      </c>
      <c r="U70" s="26">
        <v>5.17</v>
      </c>
      <c r="V70" s="26">
        <f>IF(AND($U$20&gt;0,$U$21&gt;0),Banco_Invoice[[#This Row],[ORIGINAL PRICE UNIT. (USD)]]*(($U$20-$U$21)/$U$20),Banco_Invoice[[#This Row],[ORIGINAL PRICE UNIT. (USD)]])</f>
        <v>5.1664313903548411</v>
      </c>
      <c r="W70" s="27">
        <f>Banco_Invoice[[#This Row],[PRICE UNIT. (USD)]]*Banco_Invoice[[#This Row],[QUANTITY / M]]</f>
        <v>1549.9294171064523</v>
      </c>
      <c r="X70" s="13">
        <v>73066100</v>
      </c>
      <c r="Y70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70" s="20" t="s">
        <v>208</v>
      </c>
    </row>
    <row r="71" spans="1:26">
      <c r="A71" s="21">
        <v>48</v>
      </c>
      <c r="B71" s="22" t="s">
        <v>94</v>
      </c>
      <c r="C71" s="21"/>
      <c r="D71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71" s="15" t="s">
        <v>109</v>
      </c>
      <c r="F71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71" s="13">
        <v>304</v>
      </c>
      <c r="H71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71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71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71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71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71" s="13" t="s">
        <v>151</v>
      </c>
      <c r="N71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71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71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71" s="13" t="s">
        <v>160</v>
      </c>
      <c r="R71" s="23">
        <v>300</v>
      </c>
      <c r="S71" s="24">
        <v>0.70840000000000003</v>
      </c>
      <c r="T71" s="25">
        <f>Banco_Invoice[[#This Row],[NET WEIGHT (Kg)]]*Banco_Invoice[[#This Row],[QUANTITY / M]]</f>
        <v>212.52</v>
      </c>
      <c r="U71" s="26">
        <v>1.54</v>
      </c>
      <c r="V71" s="26">
        <f>IF(AND($U$20&gt;0,$U$21&gt;0),Banco_Invoice[[#This Row],[ORIGINAL PRICE UNIT. (USD)]]*(($U$20-$U$21)/$U$20),Banco_Invoice[[#This Row],[ORIGINAL PRICE UNIT. (USD)]])</f>
        <v>1.5389370098929314</v>
      </c>
      <c r="W71" s="27">
        <f>Banco_Invoice[[#This Row],[PRICE UNIT. (USD)]]*Banco_Invoice[[#This Row],[QUANTITY / M]]</f>
        <v>461.68110296787938</v>
      </c>
      <c r="X71" s="13">
        <v>73066100</v>
      </c>
      <c r="Y71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71" s="20" t="s">
        <v>209</v>
      </c>
    </row>
    <row r="72" spans="1:26">
      <c r="A72" s="13">
        <v>49</v>
      </c>
      <c r="B72" s="22" t="s">
        <v>95</v>
      </c>
      <c r="C72" s="21"/>
      <c r="D72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72" s="15" t="s">
        <v>109</v>
      </c>
      <c r="F72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72" s="13">
        <v>304</v>
      </c>
      <c r="H72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72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72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72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72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72" s="13" t="s">
        <v>152</v>
      </c>
      <c r="N72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72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72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72" s="13" t="s">
        <v>160</v>
      </c>
      <c r="R72" s="23">
        <v>300</v>
      </c>
      <c r="S72" s="24">
        <v>1.0851999999999999</v>
      </c>
      <c r="T72" s="25">
        <f>Banco_Invoice[[#This Row],[NET WEIGHT (Kg)]]*Banco_Invoice[[#This Row],[QUANTITY / M]]</f>
        <v>325.56</v>
      </c>
      <c r="U72" s="26">
        <v>2.35</v>
      </c>
      <c r="V72" s="26">
        <f>IF(AND($U$20&gt;0,$U$21&gt;0),Banco_Invoice[[#This Row],[ORIGINAL PRICE UNIT. (USD)]]*(($U$20-$U$21)/$U$20),Banco_Invoice[[#This Row],[ORIGINAL PRICE UNIT. (USD)]])</f>
        <v>2.3483779047067461</v>
      </c>
      <c r="W72" s="27">
        <f>Banco_Invoice[[#This Row],[PRICE UNIT. (USD)]]*Banco_Invoice[[#This Row],[QUANTITY / M]]</f>
        <v>704.51337141202384</v>
      </c>
      <c r="X72" s="13">
        <v>73066100</v>
      </c>
      <c r="Y72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72" s="20" t="s">
        <v>209</v>
      </c>
    </row>
    <row r="73" spans="1:26">
      <c r="A73" s="21">
        <v>50</v>
      </c>
      <c r="B73" s="22" t="s">
        <v>96</v>
      </c>
      <c r="C73" s="21"/>
      <c r="D73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73" s="15" t="s">
        <v>109</v>
      </c>
      <c r="F73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73" s="13">
        <v>304</v>
      </c>
      <c r="H73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73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73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73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73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73" s="13" t="s">
        <v>153</v>
      </c>
      <c r="N73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73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73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73" s="13" t="s">
        <v>160</v>
      </c>
      <c r="R73" s="23">
        <v>300</v>
      </c>
      <c r="S73" s="24">
        <v>1.462</v>
      </c>
      <c r="T73" s="25">
        <f>Banco_Invoice[[#This Row],[NET WEIGHT (Kg)]]*Banco_Invoice[[#This Row],[QUANTITY / M]]</f>
        <v>438.59999999999997</v>
      </c>
      <c r="U73" s="26">
        <v>3.14</v>
      </c>
      <c r="V73" s="26">
        <f>IF(AND($U$20&gt;0,$U$21&gt;0),Banco_Invoice[[#This Row],[ORIGINAL PRICE UNIT. (USD)]]*(($U$20-$U$21)/$U$20),Banco_Invoice[[#This Row],[ORIGINAL PRICE UNIT. (USD)]])</f>
        <v>3.1378326045868858</v>
      </c>
      <c r="W73" s="27">
        <f>Banco_Invoice[[#This Row],[PRICE UNIT. (USD)]]*Banco_Invoice[[#This Row],[QUANTITY / M]]</f>
        <v>941.34978137606572</v>
      </c>
      <c r="X73" s="13">
        <v>73066100</v>
      </c>
      <c r="Y73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73" s="20" t="s">
        <v>209</v>
      </c>
    </row>
    <row r="74" spans="1:26">
      <c r="A74" s="13">
        <v>51</v>
      </c>
      <c r="B74" s="22" t="s">
        <v>97</v>
      </c>
      <c r="C74" s="21"/>
      <c r="D74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74" s="15" t="s">
        <v>109</v>
      </c>
      <c r="F74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74" s="13">
        <v>304</v>
      </c>
      <c r="H74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74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74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74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74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74" s="13" t="s">
        <v>154</v>
      </c>
      <c r="N74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74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74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74" s="13" t="s">
        <v>160</v>
      </c>
      <c r="R74" s="23">
        <v>210</v>
      </c>
      <c r="S74" s="24">
        <v>1.8388</v>
      </c>
      <c r="T74" s="25">
        <f>Banco_Invoice[[#This Row],[NET WEIGHT (Kg)]]*Banco_Invoice[[#This Row],[QUANTITY / M]]</f>
        <v>386.14800000000002</v>
      </c>
      <c r="U74" s="26">
        <v>3.95</v>
      </c>
      <c r="V74" s="26">
        <f>IF(AND($U$20&gt;0,$U$21&gt;0),Banco_Invoice[[#This Row],[ORIGINAL PRICE UNIT. (USD)]]*(($U$20-$U$21)/$U$20),Banco_Invoice[[#This Row],[ORIGINAL PRICE UNIT. (USD)]])</f>
        <v>3.9472734994007008</v>
      </c>
      <c r="W74" s="27">
        <f>Banco_Invoice[[#This Row],[PRICE UNIT. (USD)]]*Banco_Invoice[[#This Row],[QUANTITY / M]]</f>
        <v>828.92743487414714</v>
      </c>
      <c r="X74" s="13">
        <v>73066100</v>
      </c>
      <c r="Y74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74" s="20" t="s">
        <v>209</v>
      </c>
    </row>
    <row r="75" spans="1:26">
      <c r="A75" s="21">
        <v>52</v>
      </c>
      <c r="B75" s="22" t="s">
        <v>98</v>
      </c>
      <c r="C75" s="21"/>
      <c r="D75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75" s="15" t="s">
        <v>109</v>
      </c>
      <c r="F75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75" s="13">
        <v>304</v>
      </c>
      <c r="H75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75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75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75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75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75" s="13" t="s">
        <v>155</v>
      </c>
      <c r="N75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75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75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75" s="13" t="s">
        <v>160</v>
      </c>
      <c r="R75" s="23">
        <v>210</v>
      </c>
      <c r="S75" s="24">
        <v>6.1539999999999999</v>
      </c>
      <c r="T75" s="25">
        <f>Banco_Invoice[[#This Row],[NET WEIGHT (Kg)]]*Banco_Invoice[[#This Row],[QUANTITY / M]]</f>
        <v>1292.3399999999999</v>
      </c>
      <c r="U75" s="26">
        <v>13.21</v>
      </c>
      <c r="V75" s="26">
        <f>IF(AND($U$20&gt;0,$U$21&gt;0),Banco_Invoice[[#This Row],[ORIGINAL PRICE UNIT. (USD)]]*(($U$20-$U$21)/$U$20),Banco_Invoice[[#This Row],[ORIGINAL PRICE UNIT. (USD)]])</f>
        <v>13.200881753691963</v>
      </c>
      <c r="W75" s="27">
        <f>Banco_Invoice[[#This Row],[PRICE UNIT. (USD)]]*Banco_Invoice[[#This Row],[QUANTITY / M]]</f>
        <v>2772.1851682753122</v>
      </c>
      <c r="X75" s="13">
        <v>73066100</v>
      </c>
      <c r="Y75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75" s="20" t="s">
        <v>210</v>
      </c>
    </row>
    <row r="76" spans="1:26">
      <c r="A76" s="13">
        <v>53</v>
      </c>
      <c r="B76" s="22" t="s">
        <v>99</v>
      </c>
      <c r="C76" s="21"/>
      <c r="D76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76" s="15" t="s">
        <v>110</v>
      </c>
      <c r="F76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76" s="13">
        <v>304</v>
      </c>
      <c r="H76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76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76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76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76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76" s="13" t="s">
        <v>156</v>
      </c>
      <c r="N76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76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76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76" s="13" t="s">
        <v>160</v>
      </c>
      <c r="R76" s="23">
        <v>360</v>
      </c>
      <c r="S76" s="24">
        <v>2.7553999999999998</v>
      </c>
      <c r="T76" s="25">
        <f>Banco_Invoice[[#This Row],[NET WEIGHT (Kg)]]*Banco_Invoice[[#This Row],[QUANTITY / M]]</f>
        <v>991.94399999999996</v>
      </c>
      <c r="U76" s="26">
        <v>5.93</v>
      </c>
      <c r="V76" s="26">
        <f>IF(AND($U$20&gt;0,$U$21&gt;0),Banco_Invoice[[#This Row],[ORIGINAL PRICE UNIT. (USD)]]*(($U$20-$U$21)/$U$20),Banco_Invoice[[#This Row],[ORIGINAL PRICE UNIT. (USD)]])</f>
        <v>5.9259067978344691</v>
      </c>
      <c r="W76" s="27">
        <f>Banco_Invoice[[#This Row],[PRICE UNIT. (USD)]]*Banco_Invoice[[#This Row],[QUANTITY / M]]</f>
        <v>2133.3264472204087</v>
      </c>
      <c r="X76" s="13">
        <v>73066100</v>
      </c>
      <c r="Y76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76" s="20" t="s">
        <v>211</v>
      </c>
    </row>
    <row r="77" spans="1:26">
      <c r="A77" s="21">
        <v>54</v>
      </c>
      <c r="B77" s="22" t="s">
        <v>100</v>
      </c>
      <c r="C77" s="21"/>
      <c r="D77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77" s="15" t="s">
        <v>111</v>
      </c>
      <c r="F77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77" s="13">
        <v>304</v>
      </c>
      <c r="H77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77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77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77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77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77" s="13" t="s">
        <v>157</v>
      </c>
      <c r="N77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77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77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77" s="13" t="s">
        <v>160</v>
      </c>
      <c r="R77" s="23">
        <v>300</v>
      </c>
      <c r="S77" s="24">
        <v>3.0144000000000002</v>
      </c>
      <c r="T77" s="25">
        <f>Banco_Invoice[[#This Row],[NET WEIGHT (Kg)]]*Banco_Invoice[[#This Row],[QUANTITY / M]]</f>
        <v>904.32</v>
      </c>
      <c r="U77" s="26">
        <v>6.51</v>
      </c>
      <c r="V77" s="26">
        <f>IF(AND($U$20&gt;0,$U$21&gt;0),Banco_Invoice[[#This Row],[ORIGINAL PRICE UNIT. (USD)]]*(($U$20-$U$21)/$U$20),Banco_Invoice[[#This Row],[ORIGINAL PRICE UNIT. (USD)]])</f>
        <v>6.5055064509110272</v>
      </c>
      <c r="W77" s="27">
        <f>Banco_Invoice[[#This Row],[PRICE UNIT. (USD)]]*Banco_Invoice[[#This Row],[QUANTITY / M]]</f>
        <v>1951.6519352733083</v>
      </c>
      <c r="X77" s="13">
        <v>73066100</v>
      </c>
      <c r="Y77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77" s="20" t="s">
        <v>212</v>
      </c>
    </row>
    <row r="78" spans="1:26">
      <c r="A78" s="13">
        <v>55</v>
      </c>
      <c r="B78" s="22" t="s">
        <v>101</v>
      </c>
      <c r="C78" s="21"/>
      <c r="D78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78" s="15" t="s">
        <v>112</v>
      </c>
      <c r="F78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78" s="13">
        <v>304</v>
      </c>
      <c r="H78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78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78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78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78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78" s="13" t="s">
        <v>158</v>
      </c>
      <c r="N78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78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78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78" s="13" t="s">
        <v>160</v>
      </c>
      <c r="R78" s="23">
        <v>360</v>
      </c>
      <c r="S78" s="24">
        <v>3.6423999999999999</v>
      </c>
      <c r="T78" s="25">
        <f>Banco_Invoice[[#This Row],[NET WEIGHT (Kg)]]*Banco_Invoice[[#This Row],[QUANTITY / M]]</f>
        <v>1311.2639999999999</v>
      </c>
      <c r="U78" s="26">
        <v>7.85</v>
      </c>
      <c r="V78" s="26">
        <f>IF(AND($U$20&gt;0,$U$21&gt;0),Banco_Invoice[[#This Row],[ORIGINAL PRICE UNIT. (USD)]]*(($U$20-$U$21)/$U$20),Banco_Invoice[[#This Row],[ORIGINAL PRICE UNIT. (USD)]])</f>
        <v>7.8445815114672142</v>
      </c>
      <c r="W78" s="27">
        <f>Banco_Invoice[[#This Row],[PRICE UNIT. (USD)]]*Banco_Invoice[[#This Row],[QUANTITY / M]]</f>
        <v>2824.0493441281969</v>
      </c>
      <c r="X78" s="13">
        <v>73066100</v>
      </c>
      <c r="Y78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78" s="20" t="s">
        <v>212</v>
      </c>
    </row>
    <row r="79" spans="1:26">
      <c r="A79" s="21">
        <v>56</v>
      </c>
      <c r="B79" s="22" t="s">
        <v>102</v>
      </c>
      <c r="C79" s="21"/>
      <c r="D79" s="15" t="e">
        <f>IF(_xlfn.XLOOKUP(Banco_Invoice[[#This Row],[CODE]],[1]!Banco_Itens[ID_ITEM],[1]!Banco_Itens[DESCRIÇÃO],"NÃO ENCONTRADO!",0,1)="","⚠",_xlfn.XLOOKUP(Banco_Invoice[[#This Row],[CODE]],[1]!Banco_Itens[ID_ITEM],[1]!Banco_Itens[DESCRIÇÃO],"NÃO ENCONTRADO!",0,1))</f>
        <v>#REF!</v>
      </c>
      <c r="E79" s="15" t="s">
        <v>113</v>
      </c>
      <c r="F79" s="15" t="e">
        <f>_xlfn.SINGLE(IF(_xlfn.SINGLE((_xlfn.XLOOKUP(Banco_Invoice[[#This Row],[CODE]],[1]!Banco_Itens[ID_ITEM],[1]!Banco_Itens[DETAILED DESCRIPTION],"NO CODE!",0,1)="")),"⚠",_xlfn.XLOOKUP(Banco_Invoice[[#This Row],[CODE]],[1]!Banco_Itens[ID_ITEM],[1]!Banco_Itens[DETAILED DESCRIPTION],"NO CODE!",0,1)))</f>
        <v>#REF!</v>
      </c>
      <c r="G79" s="13">
        <v>304</v>
      </c>
      <c r="H79" s="13" t="e">
        <f>IF(_xlfn.XLOOKUP(Banco_Invoice[[#This Row],[CODE]],[1]!Banco_Itens[ID_ITEM],[1]!Banco_Itens[PRESSURE CLASS],"NO CODE!",0,1)="","⚠",_xlfn.XLOOKUP(Banco_Invoice[[#This Row],[CODE]],[1]!Banco_Itens[ID_ITEM],[1]!Banco_Itens[PRESSURE CLASS],"NO CODE!",0,1))</f>
        <v>#REF!</v>
      </c>
      <c r="I79" s="13" t="e">
        <f>IF(_xlfn.XLOOKUP(Banco_Invoice[[#This Row],[CODE]],[1]!Banco_Itens[ID_ITEM],[1]!Banco_Itens[SIZE 1-0],"NO CODE!",0,1)="","⚠",_xlfn.XLOOKUP(Banco_Invoice[[#This Row],[CODE]],[1]!Banco_Itens[ID_ITEM],[1]!Banco_Itens[SIZE 1-0],"NO CODE!",0,1))</f>
        <v>#REF!</v>
      </c>
      <c r="J79" s="13" t="e">
        <f>IF(_xlfn.XLOOKUP(Banco_Invoice[[#This Row],[CODE]],[1]!Banco_Itens[ID_ITEM],[1]!Banco_Itens[SIZE 1-1],"NO CODE!",0,1)="","⚠",_xlfn.XLOOKUP(Banco_Invoice[[#This Row],[CODE]],[1]!Banco_Itens[ID_ITEM],[1]!Banco_Itens[SIZE 1-1],"NO CODE!",0,1))</f>
        <v>#REF!</v>
      </c>
      <c r="K79" s="13" t="e">
        <f>IF(_xlfn.XLOOKUP(Banco_Invoice[[#This Row],[CODE]],[1]!Banco_Itens[ID_ITEM],[1]!Banco_Itens[SIZE 2-0],"NO CODE!",0,1)="","⚠",_xlfn.XLOOKUP(Banco_Invoice[[#This Row],[CODE]],[1]!Banco_Itens[ID_ITEM],[1]!Banco_Itens[SIZE 2-0],"NO CODE!",0,1))</f>
        <v>#REF!</v>
      </c>
      <c r="L79" s="13" t="e">
        <f>IF(_xlfn.XLOOKUP(Banco_Invoice[[#This Row],[CODE]],[1]!Banco_Itens[ID_ITEM],[1]!Banco_Itens[SIZE 2-1],"NO CODE!",0,1)="","⚠",_xlfn.XLOOKUP(Banco_Invoice[[#This Row],[CODE]],[1]!Banco_Itens[ID_ITEM],[1]!Banco_Itens[SIZE 2-1],"NO CODE!",0,1))</f>
        <v>#REF!</v>
      </c>
      <c r="M79" s="13" t="s">
        <v>159</v>
      </c>
      <c r="N79" s="13" t="e">
        <f>IF(_xlfn.XLOOKUP(Banco_Invoice[[#This Row],[CODE]],[1]!Banco_Itens[ID_ITEM],[1]!Banco_Itens[CONNECTION TERMINAL],"NO CODE!",0,1)="","⚠",_xlfn.XLOOKUP(Banco_Invoice[[#This Row],[CODE]],[1]!Banco_Itens[ID_ITEM],[1]!Banco_Itens[CONNECTION TERMINAL],"NO CODE!",0,1))</f>
        <v>#REF!</v>
      </c>
      <c r="O79" s="21" t="e">
        <f>IF(_xlfn.XLOOKUP(Banco_Invoice[[#This Row],[CODE]],[1]!Banco_Itens[ID_ITEM],[1]!Banco_Itens[CONSTRUCTION / TESTING STANDARDS],"NO CODE!",0,1)="","⚠",_xlfn.XLOOKUP(Banco_Invoice[[#This Row],[CODE]],[1]!Banco_Itens[ID_ITEM],[1]!Banco_Itens[CONSTRUCTION / TESTING STANDARDS],"NO CODE!",0,1))</f>
        <v>#REF!</v>
      </c>
      <c r="P79" s="21" t="e">
        <f>IF(_xlfn.XLOOKUP(Banco_Invoice[[#This Row],[CODE]],[1]!Banco_Itens[ID_ITEM],[1]!Banco_Itens[MANUFACTURING DETAILS],"NO CODE!",0,1)="","⚠",_xlfn.XLOOKUP(Banco_Invoice[[#This Row],[CODE]],[1]!Banco_Itens[ID_ITEM],[1]!Banco_Itens[MANUFACTURING DETAILS],"NO CODE!",0,1))</f>
        <v>#REF!</v>
      </c>
      <c r="Q79" s="13" t="s">
        <v>160</v>
      </c>
      <c r="R79" s="23">
        <v>300</v>
      </c>
      <c r="S79" s="24">
        <v>4.8983999999999996</v>
      </c>
      <c r="T79" s="25">
        <f>Banco_Invoice[[#This Row],[NET WEIGHT (Kg)]]*Banco_Invoice[[#This Row],[QUANTITY / M]]</f>
        <v>1469.52</v>
      </c>
      <c r="U79" s="26">
        <v>10.52</v>
      </c>
      <c r="V79" s="26">
        <f>IF(AND($U$20&gt;0,$U$21&gt;0),Banco_Invoice[[#This Row],[ORIGINAL PRICE UNIT. (USD)]]*(($U$20-$U$21)/$U$20),Banco_Invoice[[#This Row],[ORIGINAL PRICE UNIT. (USD)]])</f>
        <v>10.512738535112751</v>
      </c>
      <c r="W79" s="27">
        <f>Banco_Invoice[[#This Row],[PRICE UNIT. (USD)]]*Banco_Invoice[[#This Row],[QUANTITY / M]]</f>
        <v>3153.8215605338255</v>
      </c>
      <c r="X79" s="13">
        <v>73066100</v>
      </c>
      <c r="Y79" s="21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79" s="20" t="s">
        <v>212</v>
      </c>
    </row>
    <row r="80" spans="1:26" ht="12" thickBot="1">
      <c r="A80" s="13">
        <v>57</v>
      </c>
      <c r="B80" s="59" t="s">
        <v>192</v>
      </c>
      <c r="C80" s="58"/>
      <c r="D80" s="60"/>
      <c r="E80" s="60" t="s">
        <v>193</v>
      </c>
      <c r="F80" s="60"/>
      <c r="G80" s="58">
        <v>304</v>
      </c>
      <c r="H80" s="58"/>
      <c r="I80" s="58"/>
      <c r="J80" s="58"/>
      <c r="K80" s="58"/>
      <c r="L80" s="58"/>
      <c r="M80" s="58" t="s">
        <v>191</v>
      </c>
      <c r="N80" s="58"/>
      <c r="O80" s="58"/>
      <c r="P80" s="58"/>
      <c r="Q80" s="58" t="s">
        <v>160</v>
      </c>
      <c r="R80" s="61">
        <v>300</v>
      </c>
      <c r="S80" s="62">
        <v>0.39</v>
      </c>
      <c r="T80" s="63">
        <f>Banco_Invoice[[#This Row],[NET WEIGHT (Kg)]]*Banco_Invoice[[#This Row],[QUANTITY / M]]</f>
        <v>117</v>
      </c>
      <c r="U80" s="64">
        <v>1.03</v>
      </c>
      <c r="V80" s="65">
        <f>IF(AND($U$20&gt;0,$U$21&gt;0),Banco_Invoice[[#This Row],[ORIGINAL PRICE UNIT. (USD)]]*(($U$20-$U$21)/$U$20),Banco_Invoice[[#This Row],[ORIGINAL PRICE UNIT. (USD)]])</f>
        <v>1.0292890390842333</v>
      </c>
      <c r="W80" s="66">
        <f>Banco_Invoice[[#This Row],[PRICE UNIT. (USD)]]*Banco_Invoice[[#This Row],[QUANTITY / M]]</f>
        <v>308.78671172526998</v>
      </c>
      <c r="X80" s="58">
        <v>73064000</v>
      </c>
      <c r="Y80" s="13" t="e">
        <f>IF(Banco_Invoice[[#Headers],[PRODUCT LINE (PT-BR)]]="PRODUCT LINE (PT-BR)",IF(_xlfn.XLOOKUP(Banco_Invoice[[#This Row],[CODE]],[1]!Banco_Itens[ID_ITEM],[1]!Banco_Itens[LINHA ABREVIADA (NÚM.)],"NO CODE!",0,1)="","⚠",_xlfn.XLOOKUP(Banco_Invoice[[#This Row],[CODE]],[1]!Banco_Itens[ID_ITEM],[1]!Banco_Itens[LINHA ABREVIADA (NÚM.)],"NO CODE!",0,1)),IF(_xlfn.XLOOKUP(Banco_Invoice[[#This Row],[CODE]],[1]!Banco_Itens[ID_ITEM],[1]!Banco_Itens[(NÚM.) SUBLINHA],"NO CODE!",0,1)="","⚠",_xlfn.XLOOKUP(Banco_Invoice[[#This Row],[CODE]],[1]!Banco_Itens[ID_ITEM],[1]!Banco_Itens[(NÚM.) SUBLINHA],"NO CODE!",0,1)))</f>
        <v>#REF!</v>
      </c>
      <c r="Z80" s="20" t="s">
        <v>213</v>
      </c>
    </row>
    <row r="81" spans="1:26" ht="16.5" thickBot="1">
      <c r="A81" s="28"/>
      <c r="B81" s="29" t="s">
        <v>29</v>
      </c>
      <c r="C81" s="30"/>
      <c r="D81" s="31"/>
      <c r="E81" s="31"/>
      <c r="F81" s="31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2">
        <f>SUBTOTAL(109,Banco_Invoice[QUANTITY / M])</f>
        <v>28158</v>
      </c>
      <c r="S81" s="29"/>
      <c r="T81" s="33">
        <f>SUBTOTAL(109,Banco_Invoice[TOTAL NET WEIGHT (Kg)])</f>
        <v>54956.299162499992</v>
      </c>
      <c r="U81" s="34"/>
      <c r="V81" s="35"/>
      <c r="W81" s="36">
        <f>SUBTOTAL(109,Banco_Invoice[TOTAL PRICE (USD)])</f>
        <v>152389.48000000001</v>
      </c>
      <c r="X81" s="30"/>
      <c r="Y81" s="30"/>
      <c r="Z81" s="37"/>
    </row>
    <row r="83" spans="1:26">
      <c r="A83" s="75" t="s">
        <v>30</v>
      </c>
      <c r="B83" s="75"/>
      <c r="C83" s="90" t="str">
        <f>Banco_Invoice[[#Totals],[QUANTITY / M]]&amp;" METERS"</f>
        <v>28158 METERS</v>
      </c>
      <c r="D83" s="90"/>
      <c r="E83" s="90"/>
      <c r="F83" s="90"/>
      <c r="G83" s="90"/>
      <c r="H83" s="91" t="s">
        <v>31</v>
      </c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spans="1:26">
      <c r="A84" s="75"/>
      <c r="B84" s="75"/>
      <c r="C84" s="90"/>
      <c r="D84" s="90"/>
      <c r="E84" s="90"/>
      <c r="F84" s="90"/>
      <c r="G84" s="90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spans="1:26">
      <c r="A85" s="75" t="s">
        <v>32</v>
      </c>
      <c r="B85" s="75"/>
      <c r="C85" s="76" t="str">
        <f>Banco_Invoice[[#Totals],[TOTAL NET WEIGHT (Kg)]]&amp;" KGS"</f>
        <v>54956,2991625 KGS</v>
      </c>
      <c r="D85" s="76"/>
      <c r="E85" s="76"/>
      <c r="F85" s="76"/>
      <c r="G85" s="77"/>
      <c r="H85" s="78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80"/>
    </row>
    <row r="86" spans="1:26" ht="10.9" customHeight="1">
      <c r="A86" s="75"/>
      <c r="B86" s="75"/>
      <c r="C86" s="76"/>
      <c r="D86" s="76"/>
      <c r="E86" s="76"/>
      <c r="F86" s="76"/>
      <c r="G86" s="77"/>
      <c r="H86" s="81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3"/>
    </row>
    <row r="87" spans="1:26" ht="10.9" customHeight="1">
      <c r="A87" s="75" t="s">
        <v>33</v>
      </c>
      <c r="B87" s="75"/>
      <c r="C87" s="76"/>
      <c r="D87" s="76"/>
      <c r="E87" s="76"/>
      <c r="F87" s="76"/>
      <c r="G87" s="77"/>
      <c r="H87" s="81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3"/>
    </row>
    <row r="88" spans="1:26" ht="10.9" customHeight="1">
      <c r="A88" s="75"/>
      <c r="B88" s="75"/>
      <c r="C88" s="76"/>
      <c r="D88" s="76"/>
      <c r="E88" s="76"/>
      <c r="F88" s="76"/>
      <c r="G88" s="77"/>
      <c r="H88" s="81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3"/>
    </row>
    <row r="89" spans="1:26" ht="10.9" customHeight="1">
      <c r="A89" s="75" t="s">
        <v>34</v>
      </c>
      <c r="B89" s="75"/>
      <c r="C89" s="76"/>
      <c r="D89" s="76"/>
      <c r="E89" s="76"/>
      <c r="F89" s="76"/>
      <c r="G89" s="77"/>
      <c r="H89" s="81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3"/>
    </row>
    <row r="90" spans="1:26" ht="10.9" customHeight="1">
      <c r="A90" s="75"/>
      <c r="B90" s="75"/>
      <c r="C90" s="76"/>
      <c r="D90" s="76"/>
      <c r="E90" s="76"/>
      <c r="F90" s="76"/>
      <c r="G90" s="77"/>
      <c r="H90" s="81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3"/>
    </row>
    <row r="91" spans="1:26" ht="10.9" customHeight="1">
      <c r="A91" s="75" t="s">
        <v>35</v>
      </c>
      <c r="B91" s="75"/>
      <c r="C91" s="76"/>
      <c r="D91" s="76"/>
      <c r="E91" s="76"/>
      <c r="F91" s="76"/>
      <c r="G91" s="77"/>
      <c r="H91" s="81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3"/>
    </row>
    <row r="92" spans="1:26" ht="10.9" customHeight="1">
      <c r="A92" s="75"/>
      <c r="B92" s="75"/>
      <c r="C92" s="76"/>
      <c r="D92" s="76"/>
      <c r="E92" s="76"/>
      <c r="F92" s="76"/>
      <c r="G92" s="77"/>
      <c r="H92" s="84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6"/>
    </row>
    <row r="93" spans="1:26" ht="10.9" customHeight="1"/>
    <row r="94" spans="1:26" ht="10.9" customHeight="1">
      <c r="A94" s="67" t="s">
        <v>36</v>
      </c>
      <c r="B94" s="67"/>
      <c r="C94" s="67"/>
      <c r="D94" s="67"/>
      <c r="E94" s="67"/>
    </row>
    <row r="95" spans="1:26" ht="10.9" customHeight="1" thickBot="1">
      <c r="A95" s="68"/>
      <c r="B95" s="68"/>
      <c r="C95" s="68"/>
      <c r="D95" s="68"/>
      <c r="E95" s="68"/>
    </row>
    <row r="96" spans="1:26" ht="12" thickTop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>
      <c r="A97" s="73" t="s">
        <v>37</v>
      </c>
      <c r="B97" s="73"/>
      <c r="C97" s="74" t="s">
        <v>38</v>
      </c>
      <c r="D97" s="74"/>
      <c r="E97" s="74"/>
    </row>
    <row r="98" spans="1:26" ht="11.25" customHeight="1">
      <c r="A98" s="73"/>
      <c r="B98" s="73"/>
      <c r="C98" s="74"/>
      <c r="D98" s="74"/>
      <c r="E98" s="74"/>
    </row>
    <row r="99" spans="1:26" ht="11.25" customHeight="1">
      <c r="A99" s="70" t="s">
        <v>39</v>
      </c>
      <c r="B99" s="70"/>
      <c r="C99" s="69"/>
      <c r="D99" s="69"/>
      <c r="E99" s="69"/>
      <c r="G99" s="70" t="s">
        <v>40</v>
      </c>
      <c r="H99" s="69"/>
      <c r="O99" s="69"/>
      <c r="P99" s="69"/>
      <c r="Q99" s="69"/>
      <c r="R99" s="69"/>
      <c r="S99" s="70" t="s">
        <v>41</v>
      </c>
      <c r="T99" s="70"/>
    </row>
    <row r="100" spans="1:26" ht="11.25" customHeight="1">
      <c r="A100" s="70"/>
      <c r="B100" s="70"/>
      <c r="C100" s="69"/>
      <c r="D100" s="69"/>
      <c r="E100" s="69"/>
      <c r="G100" s="70"/>
      <c r="H100" s="69"/>
      <c r="O100" s="69"/>
      <c r="P100" s="69"/>
      <c r="Q100" s="69"/>
      <c r="R100" s="69"/>
      <c r="S100" s="70"/>
      <c r="T100" s="70"/>
    </row>
    <row r="101" spans="1:26" ht="11.25" customHeight="1">
      <c r="A101" s="71" t="s">
        <v>42</v>
      </c>
      <c r="B101" s="71"/>
      <c r="C101" s="72"/>
      <c r="D101" s="72"/>
      <c r="E101" s="72"/>
      <c r="G101" s="71" t="s">
        <v>43</v>
      </c>
      <c r="H101" s="72"/>
      <c r="O101" s="72"/>
      <c r="P101" s="72"/>
      <c r="Q101" s="72"/>
      <c r="R101" s="72"/>
      <c r="S101" s="71" t="s">
        <v>44</v>
      </c>
      <c r="T101" s="71"/>
    </row>
    <row r="102" spans="1:26" ht="11.25" customHeight="1">
      <c r="A102" s="71"/>
      <c r="B102" s="71"/>
      <c r="C102" s="72"/>
      <c r="D102" s="72"/>
      <c r="E102" s="72"/>
      <c r="G102" s="71"/>
      <c r="H102" s="72"/>
      <c r="O102" s="72"/>
      <c r="P102" s="72"/>
      <c r="Q102" s="72"/>
      <c r="R102" s="72"/>
      <c r="S102" s="71"/>
      <c r="T102" s="71"/>
    </row>
    <row r="103" spans="1:26" ht="11.25" customHeight="1"/>
    <row r="104" spans="1:26">
      <c r="A104" s="67" t="s">
        <v>45</v>
      </c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spans="1:26" ht="12" thickBot="1">
      <c r="A105" s="67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2" thickTop="1"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9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0.9" customHeight="1">
      <c r="A107" s="6" t="s">
        <v>168</v>
      </c>
    </row>
    <row r="108" spans="1:26" ht="10.9" customHeight="1"/>
    <row r="109" spans="1:26" ht="10.9" customHeight="1">
      <c r="A109" s="40" t="s">
        <v>169</v>
      </c>
      <c r="B109" s="41"/>
      <c r="C109" s="41"/>
      <c r="D109" s="41"/>
      <c r="E109" s="41"/>
      <c r="F109" s="42"/>
      <c r="G109" s="42"/>
      <c r="H109" s="43"/>
      <c r="I109" s="41"/>
      <c r="J109" s="41"/>
      <c r="K109" s="41"/>
      <c r="L109" s="41"/>
      <c r="M109" s="41"/>
      <c r="N109" s="41"/>
      <c r="O109" s="43"/>
      <c r="P109" s="43"/>
      <c r="Q109" s="41"/>
      <c r="R109" s="41"/>
    </row>
    <row r="110" spans="1:26" ht="36">
      <c r="A110" s="44" t="s">
        <v>170</v>
      </c>
      <c r="B110" s="45"/>
      <c r="C110" s="45"/>
      <c r="D110" s="45"/>
      <c r="E110" s="56" t="s">
        <v>171</v>
      </c>
      <c r="G110" s="56"/>
      <c r="H110" s="57"/>
      <c r="I110" s="56"/>
      <c r="J110" s="56"/>
      <c r="K110" s="56"/>
      <c r="L110" s="56"/>
      <c r="M110" s="56"/>
      <c r="N110" s="56"/>
      <c r="O110" s="57"/>
      <c r="P110" s="57"/>
      <c r="Q110" s="56"/>
      <c r="R110" s="56"/>
    </row>
    <row r="111" spans="1:26" ht="36">
      <c r="A111" s="44" t="s">
        <v>172</v>
      </c>
      <c r="B111" s="45"/>
      <c r="C111" s="45"/>
      <c r="D111" s="45"/>
      <c r="E111" s="56" t="s">
        <v>173</v>
      </c>
      <c r="G111" s="56"/>
      <c r="H111" s="57"/>
      <c r="I111" s="56"/>
      <c r="J111" s="56"/>
      <c r="K111" s="56"/>
      <c r="L111" s="56"/>
      <c r="M111" s="56"/>
      <c r="N111" s="56"/>
      <c r="O111" s="57"/>
      <c r="P111" s="57"/>
      <c r="Q111" s="56"/>
      <c r="R111" s="56"/>
    </row>
    <row r="112" spans="1:26" ht="24">
      <c r="A112" s="44" t="s">
        <v>179</v>
      </c>
      <c r="B112" s="45"/>
      <c r="C112" s="45"/>
      <c r="D112" s="45"/>
      <c r="E112" s="56" t="s">
        <v>174</v>
      </c>
      <c r="G112" s="56"/>
      <c r="H112" s="57"/>
      <c r="I112" s="56"/>
      <c r="J112" s="56"/>
      <c r="K112" s="56"/>
      <c r="L112" s="56"/>
      <c r="M112" s="56"/>
      <c r="N112" s="56"/>
      <c r="O112" s="57"/>
      <c r="P112" s="57"/>
      <c r="Q112" s="56"/>
      <c r="R112" s="56"/>
    </row>
    <row r="113" spans="1:18" ht="34.5" customHeight="1">
      <c r="A113" s="44" t="s">
        <v>175</v>
      </c>
      <c r="B113" s="45"/>
      <c r="C113" s="45"/>
      <c r="D113" s="45"/>
      <c r="E113" s="56" t="s">
        <v>180</v>
      </c>
      <c r="G113" s="56"/>
      <c r="H113" s="57"/>
      <c r="I113" s="56"/>
      <c r="J113" s="56"/>
      <c r="K113" s="56"/>
      <c r="L113" s="56"/>
      <c r="M113" s="56"/>
      <c r="N113" s="56"/>
      <c r="O113" s="57"/>
      <c r="P113" s="57"/>
      <c r="Q113" s="56"/>
      <c r="R113" s="56"/>
    </row>
    <row r="114" spans="1:18" ht="48" customHeight="1">
      <c r="A114" s="44" t="s">
        <v>181</v>
      </c>
      <c r="B114" s="45"/>
      <c r="C114" s="45"/>
      <c r="D114" s="45"/>
      <c r="E114" s="56" t="s">
        <v>176</v>
      </c>
      <c r="G114" s="56"/>
      <c r="H114" s="57"/>
      <c r="I114" s="56"/>
      <c r="J114" s="56"/>
      <c r="K114" s="56"/>
      <c r="L114" s="56"/>
      <c r="M114" s="56"/>
      <c r="N114" s="56"/>
      <c r="O114" s="57"/>
      <c r="P114" s="57"/>
      <c r="Q114" s="56"/>
      <c r="R114" s="56"/>
    </row>
    <row r="115" spans="1:18" ht="30" customHeight="1">
      <c r="A115" s="44" t="s">
        <v>177</v>
      </c>
      <c r="B115" s="45"/>
      <c r="C115" s="45"/>
      <c r="D115" s="45"/>
      <c r="E115" s="56" t="s">
        <v>178</v>
      </c>
      <c r="G115" s="56"/>
      <c r="H115" s="57"/>
      <c r="I115" s="56"/>
      <c r="J115" s="56"/>
      <c r="K115" s="56"/>
      <c r="L115" s="56"/>
      <c r="M115" s="56"/>
      <c r="N115" s="56"/>
      <c r="O115" s="57"/>
      <c r="P115" s="57"/>
      <c r="Q115" s="56"/>
      <c r="R115" s="56"/>
    </row>
    <row r="116" spans="1:18" ht="30" customHeight="1">
      <c r="A116" s="46"/>
      <c r="B116" s="47"/>
      <c r="C116" s="47"/>
      <c r="D116" s="48"/>
      <c r="E116" s="49"/>
      <c r="F116" s="50"/>
      <c r="G116" s="50"/>
      <c r="H116" s="51"/>
      <c r="I116" s="52"/>
      <c r="J116" s="52"/>
      <c r="K116" s="53"/>
      <c r="L116" s="51"/>
      <c r="M116" s="52"/>
      <c r="N116" s="54"/>
      <c r="O116" s="55"/>
      <c r="P116" s="55"/>
      <c r="Q116" s="54"/>
      <c r="R116" s="54"/>
    </row>
    <row r="117" spans="1:18" ht="27" customHeight="1">
      <c r="A117" s="2" t="s">
        <v>182</v>
      </c>
    </row>
    <row r="118" spans="1:18" ht="24" customHeight="1">
      <c r="A118" s="2" t="s">
        <v>183</v>
      </c>
    </row>
    <row r="119" spans="1:18">
      <c r="A119" s="2" t="s">
        <v>184</v>
      </c>
    </row>
    <row r="120" spans="1:18">
      <c r="A120" s="2" t="s">
        <v>185</v>
      </c>
    </row>
    <row r="121" spans="1:18">
      <c r="A121" s="2" t="s">
        <v>186</v>
      </c>
    </row>
    <row r="122" spans="1:18">
      <c r="A122" s="2" t="s">
        <v>187</v>
      </c>
    </row>
    <row r="123" spans="1:18">
      <c r="A123" s="2" t="s">
        <v>188</v>
      </c>
    </row>
  </sheetData>
  <mergeCells count="44">
    <mergeCell ref="A8:P9"/>
    <mergeCell ref="V8:W9"/>
    <mergeCell ref="X8:Z9"/>
    <mergeCell ref="A1:Z1"/>
    <mergeCell ref="A2:Z2"/>
    <mergeCell ref="A3:Z3"/>
    <mergeCell ref="A4:Z4"/>
    <mergeCell ref="A6:Z6"/>
    <mergeCell ref="A10:P13"/>
    <mergeCell ref="V10:W11"/>
    <mergeCell ref="X10:Z11"/>
    <mergeCell ref="V12:W13"/>
    <mergeCell ref="X12:Z13"/>
    <mergeCell ref="A15:P16"/>
    <mergeCell ref="A17:P20"/>
    <mergeCell ref="A83:B84"/>
    <mergeCell ref="C83:G84"/>
    <mergeCell ref="H83:Z84"/>
    <mergeCell ref="A85:B86"/>
    <mergeCell ref="C85:G86"/>
    <mergeCell ref="H85:Z92"/>
    <mergeCell ref="A87:B88"/>
    <mergeCell ref="C87:G88"/>
    <mergeCell ref="A89:B90"/>
    <mergeCell ref="C89:G90"/>
    <mergeCell ref="A91:B92"/>
    <mergeCell ref="C91:G92"/>
    <mergeCell ref="A94:E95"/>
    <mergeCell ref="A97:B98"/>
    <mergeCell ref="C97:E98"/>
    <mergeCell ref="A99:B100"/>
    <mergeCell ref="C99:E100"/>
    <mergeCell ref="A104:M105"/>
    <mergeCell ref="N104:Z105"/>
    <mergeCell ref="H99:H100"/>
    <mergeCell ref="S99:T100"/>
    <mergeCell ref="O99:R100"/>
    <mergeCell ref="A101:B102"/>
    <mergeCell ref="C101:E102"/>
    <mergeCell ref="G101:G102"/>
    <mergeCell ref="H101:H102"/>
    <mergeCell ref="S101:T102"/>
    <mergeCell ref="O101:R102"/>
    <mergeCell ref="G99:G100"/>
  </mergeCells>
  <phoneticPr fontId="13" type="noConversion"/>
  <conditionalFormatting sqref="C24:C79">
    <cfRule type="expression" dxfId="2" priority="2">
      <formula>$C24="Low"</formula>
    </cfRule>
    <cfRule type="expression" dxfId="1" priority="3">
      <formula>$C24="Medium"</formula>
    </cfRule>
    <cfRule type="expression" dxfId="0" priority="4">
      <formula>$C24="High"</formula>
    </cfRule>
  </conditionalFormatting>
  <dataValidations disablePrompts="1" count="1">
    <dataValidation type="list" allowBlank="1" showInputMessage="1" showErrorMessage="1" sqref="Y23" xr:uid="{CCD654C9-BCC3-4305-9898-E547B73ECDEE}">
      <formula1>"PRODUCT LINE (PT-BR), UNDERLINE PRODUCT (PT-BR)"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portrait" r:id="rId1"/>
  <headerFooter>
    <oddFooter>&amp;L&amp;F&amp;C| &amp;D - &amp;T |&amp;RPágina &amp;P de &amp;N</oddFooter>
  </headerFooter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Invoice</vt:lpstr>
      <vt:lpstr>Invoice!Area_de_impressao</vt:lpstr>
      <vt:lpstr>Invoice!Titulos_de_impressao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Metalurgico 5 Plasnox</dc:creator>
  <cp:lastModifiedBy>Metalurgico 5 Plasnox</cp:lastModifiedBy>
  <dcterms:created xsi:type="dcterms:W3CDTF">2026-06-03T18:07:35Z</dcterms:created>
  <dcterms:modified xsi:type="dcterms:W3CDTF">2026-06-09T12:42:25Z</dcterms:modified>
</cp:coreProperties>
</file>
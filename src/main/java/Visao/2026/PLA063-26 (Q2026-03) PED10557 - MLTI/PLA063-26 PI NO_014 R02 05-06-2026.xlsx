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63-26 (Q2026-03) PED10557 - MLTI\"/>
    </mc:Choice>
  </mc:AlternateContent>
  <xr:revisionPtr revIDLastSave="0" documentId="13_ncr:1_{4439D3A7-2759-4F08-A01A-F6E03E570D3E}" xr6:coauthVersionLast="47" xr6:coauthVersionMax="47" xr10:uidLastSave="{00000000-0000-0000-0000-000000000000}"/>
  <bookViews>
    <workbookView xWindow="-108" yWindow="-108" windowWidth="23256" windowHeight="12456" xr2:uid="{BE9D2A24-18D3-4309-BA06-C028C838658A}"/>
  </bookViews>
  <sheets>
    <sheet name="Invoice" sheetId="1" r:id="rId1"/>
  </sheets>
  <externalReferences>
    <externalReference r:id="rId2"/>
  </externalReferences>
  <definedNames>
    <definedName name="_xlnm.Print_Area" localSheetId="0">Invoice!$A$1:$Z$89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Invoice!$23:$23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4" i="1" l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R64" i="1" l="1"/>
  <c r="C66" i="1" s="1"/>
  <c r="V63" i="1"/>
  <c r="W63" i="1" s="1"/>
  <c r="T63" i="1"/>
  <c r="L63" i="1"/>
  <c r="K63" i="1"/>
  <c r="J63" i="1"/>
  <c r="I63" i="1"/>
  <c r="H63" i="1"/>
  <c r="F63" i="1"/>
  <c r="D63" i="1"/>
  <c r="V62" i="1"/>
  <c r="W62" i="1" s="1"/>
  <c r="T62" i="1"/>
  <c r="L62" i="1"/>
  <c r="K62" i="1"/>
  <c r="J62" i="1"/>
  <c r="I62" i="1"/>
  <c r="H62" i="1"/>
  <c r="F62" i="1"/>
  <c r="D62" i="1"/>
  <c r="V61" i="1"/>
  <c r="W61" i="1" s="1"/>
  <c r="T61" i="1"/>
  <c r="L61" i="1"/>
  <c r="K61" i="1"/>
  <c r="J61" i="1"/>
  <c r="I61" i="1"/>
  <c r="H61" i="1"/>
  <c r="F61" i="1"/>
  <c r="D61" i="1"/>
  <c r="V60" i="1"/>
  <c r="W60" i="1" s="1"/>
  <c r="T60" i="1"/>
  <c r="L60" i="1"/>
  <c r="K60" i="1"/>
  <c r="J60" i="1"/>
  <c r="I60" i="1"/>
  <c r="H60" i="1"/>
  <c r="F60" i="1"/>
  <c r="D60" i="1"/>
  <c r="V59" i="1"/>
  <c r="W59" i="1" s="1"/>
  <c r="T59" i="1"/>
  <c r="L59" i="1"/>
  <c r="K59" i="1"/>
  <c r="J59" i="1"/>
  <c r="I59" i="1"/>
  <c r="H59" i="1"/>
  <c r="F59" i="1"/>
  <c r="D59" i="1"/>
  <c r="V58" i="1"/>
  <c r="W58" i="1" s="1"/>
  <c r="T58" i="1"/>
  <c r="L58" i="1"/>
  <c r="K58" i="1"/>
  <c r="J58" i="1"/>
  <c r="I58" i="1"/>
  <c r="H58" i="1"/>
  <c r="F58" i="1"/>
  <c r="D58" i="1"/>
  <c r="V57" i="1"/>
  <c r="W57" i="1" s="1"/>
  <c r="T57" i="1"/>
  <c r="L57" i="1"/>
  <c r="K57" i="1"/>
  <c r="J57" i="1"/>
  <c r="I57" i="1"/>
  <c r="H57" i="1"/>
  <c r="F57" i="1"/>
  <c r="D57" i="1"/>
  <c r="V56" i="1"/>
  <c r="W56" i="1" s="1"/>
  <c r="T56" i="1"/>
  <c r="L56" i="1"/>
  <c r="K56" i="1"/>
  <c r="J56" i="1"/>
  <c r="I56" i="1"/>
  <c r="H56" i="1"/>
  <c r="F56" i="1"/>
  <c r="D56" i="1"/>
  <c r="V55" i="1"/>
  <c r="W55" i="1" s="1"/>
  <c r="T55" i="1"/>
  <c r="L55" i="1"/>
  <c r="K55" i="1"/>
  <c r="J55" i="1"/>
  <c r="I55" i="1"/>
  <c r="H55" i="1"/>
  <c r="F55" i="1"/>
  <c r="D55" i="1"/>
  <c r="V54" i="1"/>
  <c r="W54" i="1" s="1"/>
  <c r="T54" i="1"/>
  <c r="L54" i="1"/>
  <c r="K54" i="1"/>
  <c r="J54" i="1"/>
  <c r="I54" i="1"/>
  <c r="H54" i="1"/>
  <c r="F54" i="1"/>
  <c r="D54" i="1"/>
  <c r="V53" i="1"/>
  <c r="W53" i="1" s="1"/>
  <c r="T53" i="1"/>
  <c r="L53" i="1"/>
  <c r="K53" i="1"/>
  <c r="J53" i="1"/>
  <c r="I53" i="1"/>
  <c r="H53" i="1"/>
  <c r="F53" i="1"/>
  <c r="D53" i="1"/>
  <c r="V52" i="1"/>
  <c r="W52" i="1" s="1"/>
  <c r="T52" i="1"/>
  <c r="L52" i="1"/>
  <c r="K52" i="1"/>
  <c r="J52" i="1"/>
  <c r="I52" i="1"/>
  <c r="H52" i="1"/>
  <c r="F52" i="1"/>
  <c r="D52" i="1"/>
  <c r="V51" i="1"/>
  <c r="W51" i="1" s="1"/>
  <c r="T51" i="1"/>
  <c r="L51" i="1"/>
  <c r="K51" i="1"/>
  <c r="J51" i="1"/>
  <c r="I51" i="1"/>
  <c r="H51" i="1"/>
  <c r="F51" i="1"/>
  <c r="D51" i="1"/>
  <c r="V50" i="1"/>
  <c r="W50" i="1" s="1"/>
  <c r="T50" i="1"/>
  <c r="L50" i="1"/>
  <c r="K50" i="1"/>
  <c r="J50" i="1"/>
  <c r="I50" i="1"/>
  <c r="H50" i="1"/>
  <c r="F50" i="1"/>
  <c r="D50" i="1"/>
  <c r="V49" i="1"/>
  <c r="W49" i="1" s="1"/>
  <c r="T49" i="1"/>
  <c r="L49" i="1"/>
  <c r="K49" i="1"/>
  <c r="J49" i="1"/>
  <c r="I49" i="1"/>
  <c r="H49" i="1"/>
  <c r="F49" i="1"/>
  <c r="D49" i="1"/>
  <c r="V48" i="1"/>
  <c r="W48" i="1" s="1"/>
  <c r="T48" i="1"/>
  <c r="L48" i="1"/>
  <c r="K48" i="1"/>
  <c r="J48" i="1"/>
  <c r="I48" i="1"/>
  <c r="H48" i="1"/>
  <c r="F48" i="1"/>
  <c r="D48" i="1"/>
  <c r="V47" i="1"/>
  <c r="W47" i="1" s="1"/>
  <c r="T47" i="1"/>
  <c r="L47" i="1"/>
  <c r="K47" i="1"/>
  <c r="J47" i="1"/>
  <c r="I47" i="1"/>
  <c r="H47" i="1"/>
  <c r="F47" i="1"/>
  <c r="D47" i="1"/>
  <c r="V46" i="1"/>
  <c r="W46" i="1" s="1"/>
  <c r="T46" i="1"/>
  <c r="L46" i="1"/>
  <c r="K46" i="1"/>
  <c r="J46" i="1"/>
  <c r="I46" i="1"/>
  <c r="H46" i="1"/>
  <c r="F46" i="1"/>
  <c r="D46" i="1"/>
  <c r="V45" i="1"/>
  <c r="W45" i="1" s="1"/>
  <c r="T45" i="1"/>
  <c r="L45" i="1"/>
  <c r="K45" i="1"/>
  <c r="J45" i="1"/>
  <c r="I45" i="1"/>
  <c r="H45" i="1"/>
  <c r="F45" i="1"/>
  <c r="D45" i="1"/>
  <c r="V44" i="1"/>
  <c r="W44" i="1" s="1"/>
  <c r="T44" i="1"/>
  <c r="L44" i="1"/>
  <c r="K44" i="1"/>
  <c r="J44" i="1"/>
  <c r="I44" i="1"/>
  <c r="H44" i="1"/>
  <c r="F44" i="1"/>
  <c r="D44" i="1"/>
  <c r="V43" i="1"/>
  <c r="W43" i="1" s="1"/>
  <c r="T43" i="1"/>
  <c r="L43" i="1"/>
  <c r="K43" i="1"/>
  <c r="J43" i="1"/>
  <c r="I43" i="1"/>
  <c r="H43" i="1"/>
  <c r="F43" i="1"/>
  <c r="D43" i="1"/>
  <c r="V42" i="1"/>
  <c r="W42" i="1" s="1"/>
  <c r="T42" i="1"/>
  <c r="L42" i="1"/>
  <c r="K42" i="1"/>
  <c r="J42" i="1"/>
  <c r="I42" i="1"/>
  <c r="H42" i="1"/>
  <c r="F42" i="1"/>
  <c r="D42" i="1"/>
  <c r="V41" i="1"/>
  <c r="W41" i="1" s="1"/>
  <c r="T41" i="1"/>
  <c r="L41" i="1"/>
  <c r="K41" i="1"/>
  <c r="J41" i="1"/>
  <c r="I41" i="1"/>
  <c r="H41" i="1"/>
  <c r="F41" i="1"/>
  <c r="D41" i="1"/>
  <c r="V40" i="1"/>
  <c r="W40" i="1" s="1"/>
  <c r="T40" i="1"/>
  <c r="L40" i="1"/>
  <c r="K40" i="1"/>
  <c r="J40" i="1"/>
  <c r="I40" i="1"/>
  <c r="H40" i="1"/>
  <c r="F40" i="1"/>
  <c r="D40" i="1"/>
  <c r="V39" i="1"/>
  <c r="W39" i="1" s="1"/>
  <c r="T39" i="1"/>
  <c r="L39" i="1"/>
  <c r="K39" i="1"/>
  <c r="J39" i="1"/>
  <c r="I39" i="1"/>
  <c r="H39" i="1"/>
  <c r="F39" i="1"/>
  <c r="D39" i="1"/>
  <c r="V38" i="1"/>
  <c r="W38" i="1" s="1"/>
  <c r="T38" i="1"/>
  <c r="L38" i="1"/>
  <c r="K38" i="1"/>
  <c r="J38" i="1"/>
  <c r="I38" i="1"/>
  <c r="H38" i="1"/>
  <c r="F38" i="1"/>
  <c r="D38" i="1"/>
  <c r="V37" i="1"/>
  <c r="W37" i="1" s="1"/>
  <c r="T37" i="1"/>
  <c r="L37" i="1"/>
  <c r="K37" i="1"/>
  <c r="J37" i="1"/>
  <c r="I37" i="1"/>
  <c r="H37" i="1"/>
  <c r="F37" i="1"/>
  <c r="D37" i="1"/>
  <c r="V36" i="1"/>
  <c r="W36" i="1" s="1"/>
  <c r="T36" i="1"/>
  <c r="L36" i="1"/>
  <c r="K36" i="1"/>
  <c r="J36" i="1"/>
  <c r="I36" i="1"/>
  <c r="H36" i="1"/>
  <c r="F36" i="1"/>
  <c r="D36" i="1"/>
  <c r="V35" i="1"/>
  <c r="W35" i="1" s="1"/>
  <c r="T35" i="1"/>
  <c r="L35" i="1"/>
  <c r="K35" i="1"/>
  <c r="J35" i="1"/>
  <c r="I35" i="1"/>
  <c r="H35" i="1"/>
  <c r="F35" i="1"/>
  <c r="D35" i="1"/>
  <c r="V34" i="1"/>
  <c r="W34" i="1" s="1"/>
  <c r="T34" i="1"/>
  <c r="L34" i="1"/>
  <c r="K34" i="1"/>
  <c r="J34" i="1"/>
  <c r="I34" i="1"/>
  <c r="H34" i="1"/>
  <c r="F34" i="1"/>
  <c r="D34" i="1"/>
  <c r="V33" i="1"/>
  <c r="W33" i="1" s="1"/>
  <c r="T33" i="1"/>
  <c r="L33" i="1"/>
  <c r="K33" i="1"/>
  <c r="J33" i="1"/>
  <c r="I33" i="1"/>
  <c r="H33" i="1"/>
  <c r="F33" i="1"/>
  <c r="D33" i="1"/>
  <c r="V32" i="1"/>
  <c r="W32" i="1" s="1"/>
  <c r="T32" i="1"/>
  <c r="L32" i="1"/>
  <c r="K32" i="1"/>
  <c r="J32" i="1"/>
  <c r="I32" i="1"/>
  <c r="H32" i="1"/>
  <c r="F32" i="1"/>
  <c r="D32" i="1"/>
  <c r="V31" i="1"/>
  <c r="W31" i="1" s="1"/>
  <c r="T31" i="1"/>
  <c r="L31" i="1"/>
  <c r="K31" i="1"/>
  <c r="J31" i="1"/>
  <c r="I31" i="1"/>
  <c r="H31" i="1"/>
  <c r="F31" i="1"/>
  <c r="D31" i="1"/>
  <c r="V30" i="1"/>
  <c r="W30" i="1" s="1"/>
  <c r="T30" i="1"/>
  <c r="L30" i="1"/>
  <c r="K30" i="1"/>
  <c r="J30" i="1"/>
  <c r="I30" i="1"/>
  <c r="H30" i="1"/>
  <c r="F30" i="1"/>
  <c r="D30" i="1"/>
  <c r="V29" i="1"/>
  <c r="W29" i="1" s="1"/>
  <c r="T29" i="1"/>
  <c r="L29" i="1"/>
  <c r="K29" i="1"/>
  <c r="J29" i="1"/>
  <c r="I29" i="1"/>
  <c r="H29" i="1"/>
  <c r="F29" i="1"/>
  <c r="D29" i="1"/>
  <c r="V28" i="1"/>
  <c r="W28" i="1" s="1"/>
  <c r="T28" i="1"/>
  <c r="L28" i="1"/>
  <c r="K28" i="1"/>
  <c r="J28" i="1"/>
  <c r="I28" i="1"/>
  <c r="H28" i="1"/>
  <c r="F28" i="1"/>
  <c r="D28" i="1"/>
  <c r="V27" i="1"/>
  <c r="W27" i="1" s="1"/>
  <c r="T27" i="1"/>
  <c r="L27" i="1"/>
  <c r="K27" i="1"/>
  <c r="J27" i="1"/>
  <c r="I27" i="1"/>
  <c r="H27" i="1"/>
  <c r="F27" i="1"/>
  <c r="D27" i="1"/>
  <c r="V26" i="1"/>
  <c r="W26" i="1" s="1"/>
  <c r="T26" i="1"/>
  <c r="L26" i="1"/>
  <c r="K26" i="1"/>
  <c r="J26" i="1"/>
  <c r="I26" i="1"/>
  <c r="H26" i="1"/>
  <c r="F26" i="1"/>
  <c r="D26" i="1"/>
  <c r="V25" i="1"/>
  <c r="W25" i="1" s="1"/>
  <c r="T25" i="1"/>
  <c r="L25" i="1"/>
  <c r="K25" i="1"/>
  <c r="J25" i="1"/>
  <c r="I25" i="1"/>
  <c r="H25" i="1"/>
  <c r="F25" i="1"/>
  <c r="D25" i="1"/>
  <c r="V24" i="1"/>
  <c r="W24" i="1" s="1"/>
  <c r="T24" i="1"/>
  <c r="L24" i="1"/>
  <c r="K24" i="1"/>
  <c r="J24" i="1"/>
  <c r="I24" i="1"/>
  <c r="H24" i="1"/>
  <c r="F24" i="1"/>
  <c r="D24" i="1"/>
  <c r="T64" i="1" l="1"/>
  <c r="W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U20" authorId="0" shapeId="0" xr:uid="{4C1AA329-E793-4734-AAC3-92A82876B77B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U21" authorId="0" shapeId="0" xr:uid="{156B3BC7-5A20-421F-B160-54F2C7B8B47F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sharedStrings.xml><?xml version="1.0" encoding="utf-8"?>
<sst xmlns="http://schemas.openxmlformats.org/spreadsheetml/2006/main" count="238" uniqueCount="156">
  <si>
    <t>INVOICE NO.:</t>
  </si>
  <si>
    <t>DATE:</t>
  </si>
  <si>
    <t>PLASNOX REFERENCE:</t>
  </si>
  <si>
    <t>⬇</t>
  </si>
  <si>
    <t>ITEM</t>
  </si>
  <si>
    <t>CODE</t>
  </si>
  <si>
    <t>ORIGIN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</si>
  <si>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</si>
  <si>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</si>
  <si>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</si>
  <si>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</si>
  <si>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</si>
  <si>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</si>
  <si>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</si>
  <si>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</si>
  <si>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</si>
  <si>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</si>
  <si>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</si>
  <si>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</si>
  <si>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</si>
  <si>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UOM</t>
  </si>
  <si>
    <t>NET WEIGHT (Kg)</t>
  </si>
  <si>
    <t>TOTAL NET WEIGHT (Kg)</t>
  </si>
  <si>
    <t>ORIGINAL PRICE UNIT. (USD)</t>
  </si>
  <si>
    <t>PRICE UNIT. (USD)</t>
  </si>
  <si>
    <t>TOTAL PRICE (USD)</t>
  </si>
  <si>
    <t>NCM CODE</t>
  </si>
  <si>
    <t>PRODUCT LINE (PT-BR)</t>
  </si>
  <si>
    <t>HEAT NUMBER</t>
  </si>
  <si>
    <t>TOTAL</t>
  </si>
  <si>
    <t>TOTAL QUANTITY:</t>
  </si>
  <si>
    <t>NOTES BELOW:</t>
  </si>
  <si>
    <t>TOTAL NET WEIGHT:</t>
  </si>
  <si>
    <t>TOTAL GROSS WEIGHT:</t>
  </si>
  <si>
    <t>TOTAL PACKAGE:</t>
  </si>
  <si>
    <t>TOTAL VOLUME:</t>
  </si>
  <si>
    <t>SHIPPING INFORMATION</t>
  </si>
  <si>
    <t>INCOTERMS:</t>
  </si>
  <si>
    <t>FOB</t>
  </si>
  <si>
    <t>LOADING PORT:</t>
  </si>
  <si>
    <t>ORIGIN COUNTRY:</t>
  </si>
  <si>
    <t>ACQUISITON COUNTRY:</t>
  </si>
  <si>
    <t>DISCHARGE PORT:</t>
  </si>
  <si>
    <t>DESTINY COUNTRY:</t>
  </si>
  <si>
    <t>PROCEDENCE COUNTRY:</t>
  </si>
  <si>
    <t>PAYMENT INFORMATION</t>
  </si>
  <si>
    <t xml:space="preserve"> PROFORMA INVOICE</t>
  </si>
  <si>
    <t>MSC2401.1205</t>
  </si>
  <si>
    <t>MSC2401.1206</t>
  </si>
  <si>
    <t>MSC2401.1207</t>
  </si>
  <si>
    <t>MSC2401.1208</t>
  </si>
  <si>
    <t>MSC2401.1209</t>
  </si>
  <si>
    <t>MSC2401.1210</t>
  </si>
  <si>
    <t>MSC2401.1211</t>
  </si>
  <si>
    <t>MSC2401.1411</t>
  </si>
  <si>
    <t>MSC2401.1212</t>
  </si>
  <si>
    <t>MSC2401.1412</t>
  </si>
  <si>
    <t>MSC2401.1413</t>
  </si>
  <si>
    <t>MSC2401.1414</t>
  </si>
  <si>
    <t>MSC2401.1406</t>
  </si>
  <si>
    <t>MSC2401.1408</t>
  </si>
  <si>
    <t>MSC2401.1409</t>
  </si>
  <si>
    <t>TUBE ROUND WELDED ANNEALING/ASTM A270 SANITARY STAINLESS/SURFACE FINISH POLISHED OUTSIDE600 GRIT, INSIDE400 GRIT(Ra＜0.8μm) WITH MIRROR OUTSIDE</t>
  </si>
  <si>
    <t>OD019,05 (3/4P) x 1,5MMx 6METERS</t>
  </si>
  <si>
    <t>OD025,40 (1P) x 1,5MMx 6METERS</t>
  </si>
  <si>
    <t>OD031,75 (1.1/4P) x 1,5MMx 6METERS</t>
  </si>
  <si>
    <t>OD038,10 (1.1/2P) x 1,5MMx 6METERS</t>
  </si>
  <si>
    <t>OD050,80 (2P) x 1,5MMx 6METERS</t>
  </si>
  <si>
    <t>OD063,50 (2.1/2P) x 1,5MMx 6METERS</t>
  </si>
  <si>
    <t>OD076,20 (3P) x 1,5MMx 6METERS</t>
  </si>
  <si>
    <t>OD076,20 (3P) x 2,0MMx 6METERS</t>
  </si>
  <si>
    <t>OD101,60 (4P) x 1,5MMx 6METERS</t>
  </si>
  <si>
    <t>OD101,60 (4P) x 2,0MMx 6METERS</t>
  </si>
  <si>
    <t>OD127,00 (5P) x 2,0MMx 6METERS</t>
  </si>
  <si>
    <t>OD152,40 (6P) x 2,0MMx 6METERS</t>
  </si>
  <si>
    <t>OD025,40 (1P) x 2,0MM</t>
  </si>
  <si>
    <t>OD038,10 (1.1/2P) x 2,0MM</t>
  </si>
  <si>
    <t>OD050,80 (2P) x 2,0MM</t>
  </si>
  <si>
    <t>M</t>
  </si>
  <si>
    <t>QUANTITY / M</t>
  </si>
  <si>
    <r>
      <rPr>
        <b/>
        <u/>
        <sz val="12"/>
        <color theme="1"/>
        <rFont val="Aptos Narrow"/>
        <family val="2"/>
        <scheme val="minor"/>
      </rPr>
      <t>IMPORTER</t>
    </r>
    <r>
      <rPr>
        <b/>
        <sz val="12"/>
        <color theme="1"/>
        <rFont val="Aptos Narrow"/>
        <family val="2"/>
        <scheme val="minor"/>
      </rPr>
      <t>/BUYER: PLASNOX IND. E COM. DE IMPORTAÇÕES LTDA</t>
    </r>
  </si>
  <si>
    <t>Rua Bonifácio Haendchen, 755 - Belchior Central, Gaspar - SC, 89110-975 - BRAZIL
79.925.442/0001-07 - Inscrição estadual: 251.465.888
PHONE: +5547-33316700</t>
  </si>
  <si>
    <t>MLTI PRIVATE LIMITED</t>
  </si>
  <si>
    <t>KHATA NO.1978, MANEKPUR ROAD, KHATTALWADA - 396 120 (Gujarat)</t>
  </si>
  <si>
    <t>Co.No.9324068493, Email ID : export.sales@moonlighttubes.com</t>
  </si>
  <si>
    <t>MLTI/26-27/014</t>
  </si>
  <si>
    <r>
      <t>MANUFACTURER:</t>
    </r>
    <r>
      <rPr>
        <b/>
        <sz val="12"/>
        <color theme="1"/>
        <rFont val="Aptos Narrow"/>
        <family val="2"/>
        <scheme val="minor"/>
      </rPr>
      <t xml:space="preserve"> MLTI PRIVATE LIMITED</t>
    </r>
  </si>
  <si>
    <t>KHATA NO.1978, MANEKPUR ROAD, KHATTALWADA - 396 120 (Gujarat)
Co.No.9324068493, Email ID : export.sales@moonlighttubes.com</t>
  </si>
  <si>
    <t>Terms Of Payment    : 20% Advance, Balance Against Proforma    before dispatch</t>
  </si>
  <si>
    <t>NHAVA SHEVA, INDIA</t>
  </si>
  <si>
    <t>INDIA</t>
  </si>
  <si>
    <t>BRAZIL</t>
  </si>
  <si>
    <t>NAVEGANTES</t>
  </si>
  <si>
    <t xml:space="preserve">1st Shipment of 2 containers with 8-12 weeks after confirm order. </t>
  </si>
  <si>
    <t>Delivery :</t>
  </si>
  <si>
    <t>Name                   : MLTI PRIVATE LIMITED
Account No.        : 000480600003277
Bank name          : Yes Bank
Branch Address  : Mittal chambers,Nariman point,Mumbai
Swift Code          : YESBINBB</t>
  </si>
  <si>
    <t>BANK DETAILS:</t>
  </si>
  <si>
    <r>
      <rPr>
        <b/>
        <sz val="10"/>
        <color theme="1"/>
        <rFont val="Aptos Narrow"/>
        <family val="2"/>
        <scheme val="minor"/>
      </rPr>
      <t>Packing:</t>
    </r>
    <r>
      <rPr>
        <sz val="10"/>
        <color theme="1"/>
        <rFont val="Aptos Narrow"/>
        <family val="2"/>
        <scheme val="minor"/>
      </rPr>
      <t xml:space="preserve"> Packaging in bundles covered with transparent plastic, and the outside with  plastic cloth.
Each bundle must have two slings. Different items must not be mixed in a bundle, and on each tube and on each bundle must contain a lable identifying the material, dimensions, HEAT # and quantity. 
No wood spacers are to be used to separate bundles inside the container.  
*On the A554 tube the lable is stick on the plastic.</t>
    </r>
  </si>
  <si>
    <t>MSC2403.1103</t>
  </si>
  <si>
    <t>MSC2403.1104</t>
  </si>
  <si>
    <t>MSC2403.1196</t>
  </si>
  <si>
    <t>MSC2403.1105</t>
  </si>
  <si>
    <t>MSC2403.1195</t>
  </si>
  <si>
    <t>MSC2403.1106</t>
  </si>
  <si>
    <t>MSC2403.1107</t>
  </si>
  <si>
    <t>MSC2403.1108</t>
  </si>
  <si>
    <t>MSC2403.1109</t>
  </si>
  <si>
    <t>MSC2403.1203</t>
  </si>
  <si>
    <t>MSC2403.1204</t>
  </si>
  <si>
    <t>MSC2403.1296</t>
  </si>
  <si>
    <t>MSC2403.1205</t>
  </si>
  <si>
    <t>MSC2403.1295</t>
  </si>
  <si>
    <t>MSC2403.1206</t>
  </si>
  <si>
    <t>MSC2403.1207</t>
  </si>
  <si>
    <t>MSC2403.1208</t>
  </si>
  <si>
    <t>MSC2403.1209</t>
  </si>
  <si>
    <t>MSC2403.1210</t>
  </si>
  <si>
    <t>MSC2403.1211</t>
  </si>
  <si>
    <t>MSC2403.1212</t>
  </si>
  <si>
    <t>MSC2403.1413</t>
  </si>
  <si>
    <t>MSC2403.1414</t>
  </si>
  <si>
    <t>MSC2403.1415</t>
  </si>
  <si>
    <t>MSC2401.1204</t>
  </si>
  <si>
    <t>TUBE ROUND WELDED/ASTM A554 ORNAMENTAL STAINLESS/ OUTSIDE POLISHED 600 GRIT /THICKNESS 1.2MM X LENGTH 6000MM/PC</t>
  </si>
  <si>
    <t>TUBE ROUND WELDED/ASTM A554 ORNAMENTAL STAINLESS/ OUTSIDE POLISHED 600 GRIT /THICKNESS 1.5MM X LENGTH 6000MM/PC</t>
  </si>
  <si>
    <t>TUBE ROUND WELDED/ASTM A554 ORNAMENTAL STAINLESS/ OUTSIDE POLISHED 600 GRIT /THICKNESS 2.00MM X LENGTH 6000MM/PC</t>
  </si>
  <si>
    <t>OD009,525 (3/8P) x 1,2MM x 6MTS</t>
  </si>
  <si>
    <t>OD012,70 (1/2P) x 1,2MM x 6MTS</t>
  </si>
  <si>
    <t>OD015,875 (5/8P) x 1,2MM x 6MTS</t>
  </si>
  <si>
    <t>OD019,05 (3/4P) x 1,2MM x 6MTS</t>
  </si>
  <si>
    <t>OD022,225 (7/8P) x 1,2MM x 6MTS</t>
  </si>
  <si>
    <t>OD025,40 (1P) x 1,2MM x 6MTS</t>
  </si>
  <si>
    <t>OD031,75 (1.1/4P) x 1,2MM x 6MTS</t>
  </si>
  <si>
    <t>OD038,10 (1.1/2P) x 1,2MM x 6MTS</t>
  </si>
  <si>
    <t>OD050,80 (2P) x 1,2MM x 6MTS</t>
  </si>
  <si>
    <t>OD009,525 (3/8P) x 1,5MM x 6MTS</t>
  </si>
  <si>
    <t>OD012,70 (1/2P) x 1,5MM x 6MTS</t>
  </si>
  <si>
    <t>OD015,875 (5/8P) x 1,5MM x 6MTS</t>
  </si>
  <si>
    <t>OD019,05 (3/4P) x 1,5MM x 6MTS</t>
  </si>
  <si>
    <t>OD022,225 (7/8P) x 1,5MM x 6MTS</t>
  </si>
  <si>
    <t>OD025,40 (1P) x 1,5MM x 6MTS</t>
  </si>
  <si>
    <t>OD031,75 (1.1/4P) x 1,5MM x 6MTS</t>
  </si>
  <si>
    <t>OD038,10 (1.1/2P) x 1,5MM x 6MTS</t>
  </si>
  <si>
    <t>OD050,80 (2P) x 1,5MM x 6MTS</t>
  </si>
  <si>
    <t>OD063,50 (2.1/2P) x 1,5MM x 6MTS</t>
  </si>
  <si>
    <t>OD076,20 (3P) x 1,5MM x 6MTS</t>
  </si>
  <si>
    <t>OD101,60 (4P) x 1,5MM x 6MTS</t>
  </si>
  <si>
    <t>OD127,00 (5P) x 2,0MM</t>
  </si>
  <si>
    <t>OD152,40 (6P) x 2,0MM</t>
  </si>
  <si>
    <t>OD203,20 (8P) x 2,0MM</t>
  </si>
  <si>
    <t xml:space="preserve">OD012,70 (1/2P) x 1,5MM  </t>
  </si>
  <si>
    <t>53557,38256875 KGS</t>
  </si>
  <si>
    <t>53557,383 KGS</t>
  </si>
  <si>
    <t>PLA063-26</t>
  </si>
  <si>
    <t>3rd Shipment 60 days after the BL date of the previous shipment.</t>
  </si>
  <si>
    <t>2nd shipment of 1 container 60 days after the BL date of the previous shipment.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</si>
</sst>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[$$-409]* #,##0.00_ ;_-[$$-409]* \-#,##0.00\ ;_-[$$-409]* &quot;-&quot;??_ ;_-@_ "/>
    <numFmt numFmtId="165" formatCode="0.000"/>
    <numFmt numFmtId="166" formatCode="0.00_ "/>
    <numFmt numFmtId="167" formatCode="0.00_);[Red]\(0.00\)"/>
    <numFmt numFmtId="168" formatCode="0_ "/>
    <numFmt numFmtId="169" formatCode="&quot;US$&quot;#,##0.00;\-&quot;US$&quot;#,##0.00"/>
  </numFmts>
  <fonts count="21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65" fontId="13" fillId="0" borderId="6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167" fontId="18" fillId="0" borderId="18" xfId="0" applyNumberFormat="1" applyFont="1" applyBorder="1" applyAlignment="1">
      <alignment vertical="center"/>
    </xf>
    <xf numFmtId="167" fontId="18" fillId="0" borderId="0" xfId="0" applyNumberFormat="1" applyFont="1" applyAlignment="1">
      <alignment vertical="center"/>
    </xf>
    <xf numFmtId="167" fontId="18" fillId="0" borderId="18" xfId="0" applyNumberFormat="1" applyFont="1" applyBorder="1" applyAlignment="1">
      <alignment horizontal="left" vertical="center"/>
    </xf>
    <xf numFmtId="167" fontId="18" fillId="0" borderId="0" xfId="0" applyNumberFormat="1" applyFont="1" applyAlignment="1">
      <alignment horizontal="left" vertical="center"/>
    </xf>
    <xf numFmtId="167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 readingOrder="1"/>
    </xf>
    <xf numFmtId="166" fontId="19" fillId="0" borderId="0" xfId="0" applyNumberFormat="1" applyFont="1" applyAlignment="1">
      <alignment horizontal="left" vertical="center" wrapText="1" readingOrder="1"/>
    </xf>
    <xf numFmtId="0" fontId="19" fillId="0" borderId="0" xfId="0" applyFont="1" applyAlignment="1">
      <alignment horizontal="left" vertical="center" wrapText="1" readingOrder="1"/>
    </xf>
    <xf numFmtId="168" fontId="19" fillId="0" borderId="0" xfId="0" applyNumberFormat="1" applyFont="1" applyAlignment="1">
      <alignment horizontal="left" vertical="center" wrapText="1" readingOrder="1"/>
    </xf>
    <xf numFmtId="169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 wrapText="1" readingOrder="1"/>
    </xf>
    <xf numFmtId="166" fontId="19" fillId="0" borderId="0" xfId="0" applyNumberFormat="1" applyFont="1" applyAlignment="1">
      <alignment vertical="center" wrapText="1" readingOrder="1"/>
    </xf>
    <xf numFmtId="0" fontId="8" fillId="0" borderId="0" xfId="0" applyFont="1" applyAlignme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65" fontId="5" fillId="0" borderId="14" xfId="0" applyNumberFormat="1" applyFont="1" applyBorder="1" applyAlignment="1">
      <alignment horizontal="left" vertical="center"/>
    </xf>
    <xf numFmtId="0" fontId="8" fillId="0" borderId="16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20" fillId="0" borderId="11" xfId="0" applyNumberFormat="1" applyFont="1" applyBorder="1" applyAlignment="1">
      <alignment horizontal="left" vertical="center" wrapText="1"/>
    </xf>
    <xf numFmtId="167" fontId="20" fillId="0" borderId="12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wrapText="1"/>
    </xf>
    <xf numFmtId="1" fontId="5" fillId="0" borderId="0" xfId="0" applyNumberFormat="1" applyFont="1" applyAlignment="1">
      <alignment horizontal="left" vertical="center"/>
    </xf>
    <xf numFmtId="167" fontId="20" fillId="0" borderId="18" xfId="0" applyNumberFormat="1" applyFont="1" applyBorder="1" applyAlignment="1">
      <alignment horizontal="left" vertical="center"/>
    </xf>
    <xf numFmtId="0" fontId="8" fillId="0" borderId="0" xfId="0" applyFont="1" applyAlignment="1">
      <alignment vertical="top"/>
    </xf>
    <xf numFmtId="0" fontId="8" fillId="0" borderId="0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166" fontId="18" fillId="0" borderId="0" xfId="0" applyNumberFormat="1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167" fontId="18" fillId="0" borderId="11" xfId="0" applyNumberFormat="1" applyFont="1" applyBorder="1" applyAlignment="1">
      <alignment vertical="center"/>
    </xf>
    <xf numFmtId="167" fontId="18" fillId="0" borderId="12" xfId="0" applyNumberFormat="1" applyFont="1" applyBorder="1" applyAlignment="1">
      <alignment vertical="center"/>
    </xf>
    <xf numFmtId="0" fontId="19" fillId="0" borderId="12" xfId="0" applyFont="1" applyBorder="1" applyAlignment="1">
      <alignment vertical="center" wrapText="1" readingOrder="1"/>
    </xf>
    <xf numFmtId="0" fontId="1" fillId="0" borderId="12" xfId="0" applyFont="1" applyBorder="1" applyAlignment="1">
      <alignment vertical="center"/>
    </xf>
    <xf numFmtId="166" fontId="19" fillId="0" borderId="12" xfId="0" applyNumberFormat="1" applyFont="1" applyBorder="1" applyAlignment="1">
      <alignment vertical="center" wrapText="1" readingOrder="1"/>
    </xf>
    <xf numFmtId="0" fontId="1" fillId="0" borderId="13" xfId="0" applyFont="1" applyBorder="1" applyAlignment="1">
      <alignment vertical="center"/>
    </xf>
    <xf numFmtId="167" fontId="20" fillId="0" borderId="27" xfId="0" applyNumberFormat="1" applyFont="1" applyBorder="1" applyAlignment="1">
      <alignment vertical="center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8" fillId="0" borderId="18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0" fontId="1" fillId="0" borderId="22" xfId="0" applyFont="1" applyBorder="1" applyAlignment="1">
      <alignment vertical="center"/>
    </xf>
    <xf numFmtId="0" fontId="8" fillId="0" borderId="18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18" xfId="0" applyFont="1" applyBorder="1" applyAlignment="1">
      <alignment horizontal="right" vertical="top"/>
    </xf>
    <xf numFmtId="0" fontId="8" fillId="0" borderId="0" xfId="0" applyFont="1" applyBorder="1" applyAlignment="1">
      <alignment horizontal="right" vertical="top"/>
    </xf>
    <xf numFmtId="0" fontId="7" fillId="0" borderId="0" xfId="0" applyFont="1" applyBorder="1" applyAlignment="1">
      <alignment horizontal="left" vertical="top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8" fillId="0" borderId="2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/>
    </xf>
    <xf numFmtId="0" fontId="19" fillId="0" borderId="24" xfId="0" applyFont="1" applyBorder="1" applyAlignment="1">
      <alignment vertical="center" wrapText="1" readingOrder="1"/>
    </xf>
    <xf numFmtId="166" fontId="19" fillId="0" borderId="24" xfId="0" applyNumberFormat="1" applyFont="1" applyBorder="1" applyAlignment="1">
      <alignment vertical="center" wrapText="1" readingOrder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/>
    </xf>
    <xf numFmtId="0" fontId="8" fillId="0" borderId="2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right" vertical="center" wrapText="1"/>
    </xf>
    <xf numFmtId="0" fontId="16" fillId="0" borderId="0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8" fillId="0" borderId="0" xfId="0" applyFont="1" applyBorder="1" applyAlignment="1">
      <alignment horizontal="left" vertical="top"/>
    </xf>
    <xf numFmtId="0" fontId="1" fillId="0" borderId="30" xfId="0" applyFont="1" applyBorder="1" applyAlignment="1">
      <alignment vertical="center"/>
    </xf>
    <xf numFmtId="0" fontId="13" fillId="0" borderId="2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165" fontId="15" fillId="0" borderId="31" xfId="0" applyNumberFormat="1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64" fontId="15" fillId="0" borderId="3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9" fillId="0" borderId="24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1" fillId="0" borderId="18" xfId="0" applyFont="1" applyBorder="1" applyAlignment="1">
      <alignment vertical="center"/>
    </xf>
  </cellXfs>
  <cellStyles count="1">
    <cellStyle name="Normal" xfId="0" builtinId="0"/>
  </cellStyles>
  <dxfs count="6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1" defaultTableStyle="TableStyleMedium2" defaultPivotStyle="PivotStyleLight16">
    <tableStyle name="Invisible" pivot="0" table="0" count="0" xr9:uid="{1F62ED5B-B2A9-4CB7-804A-25D57177D8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LA000-00%20(Q0000-00)%20-%20MAYSKY/3.%20Documentos%20Finais/RPLA000-00%20CI%20AND%20PL.xlsx" TargetMode="External"/><Relationship Id="rId2" Type="http://schemas.openxmlformats.org/officeDocument/2006/relationships/externalLinkPath" Target="file:///K:\Importacao\Operacional\2.%20Processos%20de%20Importac&#227;o\2.%20Pedidos\1.%20Pedidos%20Abertos\2026\PLA000-00%20(Q0000-00)%20-%20MAYSKY\3.%20Documentos%20Finais\RPLA000-00%20CI%20AND%20PL.xlsx" TargetMode="External"/><Relationship Id="rId1" Type="http://schemas.openxmlformats.org/officeDocument/2006/relationships/externalLinkPath" Target="/Importacao/Operacional/2.%20Processos%20de%20Importac&#227;o/2.%20Pedidos/1.%20Pedidos%20Abertos/2026/PLA000-00%20(Q0000-00)%20-%20MAYSKY/3.%20Documentos%20Finais/RPLA000-00%20CI%20AND%20P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oice"/>
      <sheetName val="Packing List"/>
      <sheetName val="Item x Qty"/>
      <sheetName val="Case x Weight"/>
      <sheetName val="Banco_Itens"/>
      <sheetName val="RPLA000-00 CI AND PL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5F268-7D26-4992-834A-08CCF5FED518}" name="Banco_Invoice" displayName="Banco_Invoice" ref="A23:Z64" totalsRowCount="1" headerRowDxfId="61" dataDxfId="59" totalsRowDxfId="57" headerRowBorderDxfId="60" tableBorderDxfId="58" totalsRowBorderDxfId="56">
  <tableColumns count="26">
    <tableColumn id="1" xr3:uid="{6F37DA51-882C-4C3A-84BE-3B9246EDBE3B}" name="ITEM" dataDxfId="55" totalsRowDxfId="54"/>
    <tableColumn id="2" xr3:uid="{05520638-E42A-458C-914B-88457712B7EF}" name="CODE" totalsRowLabel="TOTAL" dataDxfId="53" totalsRowDxfId="52"/>
    <tableColumn id="3" xr3:uid="{23A3C43B-A69E-4359-AEEA-E91EB2844594}" name="ORIGIN" dataDxfId="51" totalsRowDxfId="50"/>
    <tableColumn id="4" xr3:uid="{4AD91984-7EE2-4A66-B0AA-054C9478510F}" name="FULL DESCRIPTION (PT-BR)" dataDxfId="49" totalsRowDxfId="48">
      <calculatedColumnFormula>IF(_xlfn.XLOOKUP(Banco_Invoice[[#This Row],[CODE]],[1]!Banco_Itens[ID_ITEM],[1]!Banco_Itens[DESCRIÇÃO],"NÃO ENCONTRADO!",0,1)="","⚠",_xlfn.XLOOKUP(Banco_Invoice[[#This Row],[CODE]],[1]!Banco_Itens[ID_ITEM],[1]!Banco_Itens[DESCRIÇÃO],"NÃO ENCONTRADO!",0,1))</calculatedColumnFormula>
    </tableColumn>
    <tableColumn id="5" xr3:uid="{B142F320-10EE-4493-BD30-34AE1CE63A51}" name="DESCRIPTION" dataDxfId="47" totalsRowDxfId="46"/>
    <tableColumn id="6" xr3:uid="{3336F90C-163B-48E0-974B-ACB9DD63A0D0}" name="DETAILED DESCRIPTION" dataDxfId="45" totalsRowDxfId="44">
      <calculatedColumnFormula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calculatedColumnFormula>
    </tableColumn>
    <tableColumn id="7" xr3:uid="{073E0A8F-6989-4195-B90F-B36CF0E64BAC}" name="MATERIAL" dataDxfId="43" totalsRowDxfId="42"/>
    <tableColumn id="8" xr3:uid="{8CB61333-8570-42FA-A612-550DB4AE6AF9}" name="PRESSURE CLASS" dataDxfId="41" totalsRowDxfId="40">
      <calculatedColumnFormula>IF(_xlfn.XLOOKUP(Banco_Invoice[[#This Row],[CODE]],[1]!Banco_Itens[ID_ITEM],[1]!Banco_Itens[PRESSURE CLASS],"NO CODE!",0,1)="","⚠",_xlfn.XLOOKUP(Banco_Invoice[[#This Row],[CODE]],[1]!Banco_Itens[ID_ITEM],[1]!Banco_Itens[PRESSURE CLASS],"NO CODE!",0,1))</calculatedColumnFormula>
    </tableColumn>
    <tableColumn id="9" xr3:uid="{32B66F68-4953-402C-9506-62E26BE7E6EF}" name="SIZE 1-0" dataDxfId="39" totalsRowDxfId="38">
      <calculatedColumnFormula>IF(_xlfn.XLOOKUP(Banco_Invoice[[#This Row],[CODE]],[1]!Banco_Itens[ID_ITEM],[1]!Banco_Itens[SIZE 1-0],"NO CODE!",0,1)="","⚠",_xlfn.XLOOKUP(Banco_Invoice[[#This Row],[CODE]],[1]!Banco_Itens[ID_ITEM],[1]!Banco_Itens[SIZE 1-0],"NO CODE!",0,1))</calculatedColumnFormula>
    </tableColumn>
    <tableColumn id="10" xr3:uid="{4AE6407B-AC93-41E9-9456-9C2474DEE39F}" name="SIZE 1-1" dataDxfId="37" totalsRowDxfId="36">
      <calculatedColumnFormula>IF(_xlfn.XLOOKUP(Banco_Invoice[[#This Row],[CODE]],[1]!Banco_Itens[ID_ITEM],[1]!Banco_Itens[SIZE 1-1],"NO CODE!",0,1)="","⚠",_xlfn.XLOOKUP(Banco_Invoice[[#This Row],[CODE]],[1]!Banco_Itens[ID_ITEM],[1]!Banco_Itens[SIZE 1-1],"NO CODE!",0,1))</calculatedColumnFormula>
    </tableColumn>
    <tableColumn id="11" xr3:uid="{EA154E9A-AE14-4DA3-9030-D0757F8918E6}" name="SIZE 2-0" dataDxfId="35" totalsRowDxfId="34">
      <calculatedColumnFormula>IF(_xlfn.XLOOKUP(Banco_Invoice[[#This Row],[CODE]],[1]!Banco_Itens[ID_ITEM],[1]!Banco_Itens[SIZE 2-0],"NO CODE!",0,1)="","⚠",_xlfn.XLOOKUP(Banco_Invoice[[#This Row],[CODE]],[1]!Banco_Itens[ID_ITEM],[1]!Banco_Itens[SIZE 2-0],"NO CODE!",0,1))</calculatedColumnFormula>
    </tableColumn>
    <tableColumn id="12" xr3:uid="{2C146BE0-7AB5-43BA-A473-59C43681DF6F}" name="SIZE 2-1" dataDxfId="33" totalsRowDxfId="32">
      <calculatedColumnFormula>IF(_xlfn.XLOOKUP(Banco_Invoice[[#This Row],[CODE]],[1]!Banco_Itens[ID_ITEM],[1]!Banco_Itens[SIZE 2-1],"NO CODE!",0,1)="","⚠",_xlfn.XLOOKUP(Banco_Invoice[[#This Row],[CODE]],[1]!Banco_Itens[ID_ITEM],[1]!Banco_Itens[SIZE 2-1],"NO CODE!",0,1))</calculatedColumnFormula>
    </tableColumn>
    <tableColumn id="13" xr3:uid="{0CEFEF70-660A-40BD-85E9-1E34551ECAD8}" name="FULL SIZE" dataDxfId="31" totalsRowDxfId="30"/>
    <tableColumn id="14" xr3:uid="{3A61A9D6-884F-40ED-BFAE-D5F6136E66DE}" name="CONNECTION TERMINALS" dataDxfId="29" totalsRowDxfId="28">
      <calculatedColumnFormula>IF(_xlfn.XLOOKUP(Banco_Invoice[[#This Row],[CODE]],[1]!Banco_Itens[ID_ITEM],[1]!Banco_Itens[CONNECTION TERMINAL],"NO CODE!",0,1)="","⚠",_xlfn.XLOOKUP(Banco_Invoice[[#This Row],[CODE]],[1]!Banco_Itens[ID_ITEM],[1]!Banco_Itens[CONNECTION TERMINAL],"NO CODE!",0,1))</calculatedColumnFormula>
    </tableColumn>
    <tableColumn id="25" xr3:uid="{1E5F4ABE-80DD-46FF-9120-71B084130264}" name="CONSTRUCTION / TESTING STANDARDS" dataDxfId="27" totalsRowDxfId="26">
      <calculatedColumnFormula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calculatedColumnFormula>
    </tableColumn>
    <tableColumn id="15" xr3:uid="{6F87E9F6-F7C8-42DD-96D5-6255A7E6F11E}" name="MANUFACTURING DETAILS" dataDxfId="25" totalsRowDxfId="24">
      <calculatedColumnFormula>IF(_xlfn.XLOOKUP(Banco_Invoice[[#This Row],[CODE]],[1]!Banco_Itens[ID_ITEM],[1]!Banco_Itens[MANUFACTURING DETAILS],"NO CODE!",0,1)="","⚠",_xlfn.XLOOKUP(Banco_Invoice[[#This Row],[CODE]],[1]!Banco_Itens[ID_ITEM],[1]!Banco_Itens[MANUFACTURING DETAILS],"NO CODE!",0,1))</calculatedColumnFormula>
    </tableColumn>
    <tableColumn id="16" xr3:uid="{A7D103DB-C4EE-444A-96AB-95BA875AC108}" name="UOM" dataDxfId="23" totalsRowDxfId="22"/>
    <tableColumn id="17" xr3:uid="{D97F0531-49ED-41E4-8A51-40B9E5515B59}" name="QUANTITY / M" totalsRowFunction="sum" dataDxfId="21" totalsRowDxfId="20"/>
    <tableColumn id="19" xr3:uid="{239742BC-0CB3-4B52-A617-5E9989DD6CBB}" name="NET WEIGHT (Kg)" dataDxfId="19" totalsRowDxfId="18"/>
    <tableColumn id="26" xr3:uid="{D2289EB2-AC5B-40B0-9759-E875D066B0DE}" name="TOTAL NET WEIGHT (Kg)" totalsRowFunction="sum" dataDxfId="17" totalsRowDxfId="16">
      <calculatedColumnFormula>Banco_Invoice[[#This Row],[NET WEIGHT (Kg)]]*Banco_Invoice[[#This Row],[QUANTITY / M]]</calculatedColumnFormula>
    </tableColumn>
    <tableColumn id="18" xr3:uid="{54780196-B975-4EE5-9A4F-7133FC6ACA64}" name="ORIGINAL PRICE UNIT. (USD)" dataDxfId="15" totalsRowDxfId="14"/>
    <tableColumn id="20" xr3:uid="{B1C0EE8A-DF31-45FD-8044-9266530376C4}" name="PRICE UNIT. (USD)" dataDxfId="13" totalsRowDxfId="12">
      <calculatedColumnFormula>IF(AND($U$20&gt;0,$U$21&gt;0),Banco_Invoice[[#This Row],[ORIGINAL PRICE UNIT. (USD)]]*(($U$20-$U$21)/$U$20),Banco_Invoice[[#This Row],[ORIGINAL PRICE UNIT. (USD)]])</calculatedColumnFormula>
    </tableColumn>
    <tableColumn id="21" xr3:uid="{9BA78049-80C8-4222-AAA8-E5AFB124E13E}" name="TOTAL PRICE (USD)" totalsRowFunction="sum" dataDxfId="11" totalsRowDxfId="10">
      <calculatedColumnFormula>Banco_Invoice[[#This Row],[PRICE UNIT. (USD)]]*Banco_Invoice[[#This Row],[QUANTITY / M]]</calculatedColumnFormula>
    </tableColumn>
    <tableColumn id="22" xr3:uid="{6A2B2BDD-0F5F-4345-99FF-6BFB973150F6}" name="NCM CODE" dataDxfId="9" totalsRowDxfId="8"/>
    <tableColumn id="23" xr3:uid="{A98126FC-59E8-4B36-ADCC-EDC044A2BE26}" name="PRODUCT LINE (PT-BR)" dataDxfId="7" totalsRowDxfId="6"/>
    <tableColumn id="24" xr3:uid="{81A0CE45-F285-411C-8FF0-FB1E521EDFBC}" name="HEAT NUMBER" dataDxfId="5" totalsRow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63A6-94D3-4E87-9171-5C6687074FFB}">
  <sheetPr>
    <pageSetUpPr fitToPage="1"/>
  </sheetPr>
  <dimension ref="A1:AF99"/>
  <sheetViews>
    <sheetView showGridLines="0" tabSelected="1" zoomScaleNormal="100" workbookViewId="0">
      <selection activeCell="C72" sqref="C72:G73"/>
    </sheetView>
  </sheetViews>
  <sheetFormatPr defaultColWidth="9.109375" defaultRowHeight="10.8" outlineLevelCol="1" x14ac:dyDescent="0.3"/>
  <cols>
    <col min="1" max="1" width="4.109375" style="2" bestFit="1" customWidth="1"/>
    <col min="2" max="2" width="11.6640625" style="2" bestFit="1" customWidth="1"/>
    <col min="3" max="3" width="5.5546875" style="2" hidden="1" customWidth="1"/>
    <col min="4" max="4" width="56.6640625" style="2" hidden="1" customWidth="1" outlineLevel="1"/>
    <col min="5" max="5" width="35.6640625" style="2" customWidth="1" collapsed="1"/>
    <col min="6" max="6" width="1.109375" style="2" hidden="1" customWidth="1"/>
    <col min="7" max="7" width="19" style="2" bestFit="1" customWidth="1"/>
    <col min="8" max="8" width="12" style="2" hidden="1" customWidth="1"/>
    <col min="9" max="12" width="7.6640625" style="2" hidden="1" customWidth="1" outlineLevel="1"/>
    <col min="13" max="13" width="15.5546875" style="2" bestFit="1" customWidth="1" collapsed="1"/>
    <col min="14" max="14" width="19" style="2" hidden="1" customWidth="1"/>
    <col min="15" max="15" width="18.33203125" style="2" hidden="1" customWidth="1"/>
    <col min="16" max="16" width="16.88671875" style="2" hidden="1" customWidth="1"/>
    <col min="17" max="17" width="4.5546875" style="2" customWidth="1"/>
    <col min="18" max="18" width="7.88671875" style="2" bestFit="1" customWidth="1"/>
    <col min="19" max="19" width="9" style="2" bestFit="1" customWidth="1"/>
    <col min="20" max="20" width="16.109375" style="2" customWidth="1"/>
    <col min="21" max="21" width="11.5546875" style="2" hidden="1" customWidth="1" outlineLevel="1"/>
    <col min="22" max="22" width="8.88671875" style="2" bestFit="1" customWidth="1" collapsed="1"/>
    <col min="23" max="23" width="13.6640625" style="2" bestFit="1" customWidth="1"/>
    <col min="24" max="24" width="8.33203125" style="2" bestFit="1" customWidth="1"/>
    <col min="25" max="25" width="22.88671875" style="2" hidden="1" customWidth="1" outlineLevel="1"/>
    <col min="26" max="26" width="9.88671875" style="2" customWidth="1" collapsed="1"/>
    <col min="27" max="16384" width="9.109375" style="2"/>
  </cols>
  <sheetData>
    <row r="1" spans="1:27" x14ac:dyDescent="0.3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7" ht="25.8" x14ac:dyDescent="0.3">
      <c r="A2" s="55" t="s">
        <v>82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7" ht="15.6" x14ac:dyDescent="0.3">
      <c r="A3" s="56" t="s">
        <v>83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7" ht="15.6" x14ac:dyDescent="0.3">
      <c r="A4" s="56" t="s">
        <v>84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33" x14ac:dyDescent="0.3">
      <c r="A6" s="57" t="s">
        <v>46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7" ht="9.9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9.9" customHeight="1" x14ac:dyDescent="0.3">
      <c r="A8" s="61" t="s">
        <v>80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/>
      <c r="R8"/>
      <c r="S8"/>
      <c r="T8" s="3"/>
      <c r="U8" s="3"/>
      <c r="V8" s="62" t="s">
        <v>0</v>
      </c>
      <c r="W8" s="62"/>
      <c r="X8" s="63" t="s">
        <v>85</v>
      </c>
      <c r="Y8" s="63"/>
      <c r="Z8" s="63"/>
    </row>
    <row r="9" spans="1:27" ht="9.9" customHeight="1" x14ac:dyDescent="0.3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/>
      <c r="R9"/>
      <c r="S9"/>
      <c r="T9" s="3"/>
      <c r="U9" s="3"/>
      <c r="V9" s="62"/>
      <c r="W9" s="62"/>
      <c r="X9" s="63"/>
      <c r="Y9" s="63"/>
      <c r="Z9" s="63"/>
    </row>
    <row r="10" spans="1:27" ht="9.9" customHeight="1" x14ac:dyDescent="0.3">
      <c r="A10" s="60" t="s">
        <v>81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/>
      <c r="R10"/>
      <c r="S10"/>
      <c r="T10" s="4"/>
      <c r="U10" s="4"/>
      <c r="V10" s="64" t="s">
        <v>1</v>
      </c>
      <c r="W10" s="47"/>
      <c r="X10" s="65">
        <v>46177</v>
      </c>
      <c r="Y10" s="66"/>
      <c r="Z10" s="66"/>
    </row>
    <row r="11" spans="1:27" ht="9.9" customHeight="1" x14ac:dyDescent="0.3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/>
      <c r="R11"/>
      <c r="S11"/>
      <c r="T11" s="4"/>
      <c r="U11" s="4"/>
      <c r="V11" s="47"/>
      <c r="W11" s="47"/>
      <c r="X11" s="66"/>
      <c r="Y11" s="66"/>
      <c r="Z11" s="66"/>
    </row>
    <row r="12" spans="1:27" ht="9.9" customHeight="1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/>
      <c r="R12"/>
      <c r="S12"/>
      <c r="T12" s="5"/>
      <c r="U12" s="5"/>
      <c r="V12" s="67" t="s">
        <v>2</v>
      </c>
      <c r="W12" s="67"/>
      <c r="X12" s="68" t="s">
        <v>153</v>
      </c>
      <c r="Y12" s="68"/>
      <c r="Z12" s="68"/>
    </row>
    <row r="13" spans="1:27" ht="9.9" customHeight="1" x14ac:dyDescent="0.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/>
      <c r="R13"/>
      <c r="S13"/>
      <c r="T13" s="5"/>
      <c r="U13" s="5"/>
      <c r="V13" s="67"/>
      <c r="W13" s="67"/>
      <c r="X13" s="68"/>
      <c r="Y13" s="68"/>
      <c r="Z13" s="68"/>
    </row>
    <row r="14" spans="1:27" ht="9.9" customHeight="1" x14ac:dyDescent="0.3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/>
      <c r="N14"/>
      <c r="O14"/>
      <c r="P14"/>
      <c r="Q14"/>
      <c r="R14"/>
      <c r="S14"/>
      <c r="T14" s="5"/>
      <c r="U14" s="5"/>
      <c r="V14" s="1"/>
      <c r="W14" s="1"/>
      <c r="X14" s="1"/>
      <c r="Y14" s="1"/>
      <c r="Z14" s="1"/>
    </row>
    <row r="15" spans="1:27" ht="9.9" customHeight="1" x14ac:dyDescent="0.3">
      <c r="A15" s="69" t="s">
        <v>86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/>
      <c r="R15"/>
      <c r="S15"/>
      <c r="T15"/>
      <c r="U15"/>
      <c r="V15"/>
      <c r="W15"/>
      <c r="X15"/>
      <c r="Y15"/>
      <c r="Z15"/>
      <c r="AA15"/>
    </row>
    <row r="16" spans="1:27" ht="9.9" customHeight="1" x14ac:dyDescent="0.3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/>
      <c r="R16"/>
      <c r="S16"/>
      <c r="T16"/>
      <c r="U16"/>
      <c r="V16"/>
      <c r="W16"/>
      <c r="X16"/>
      <c r="Y16"/>
      <c r="Z16"/>
      <c r="AA16"/>
    </row>
    <row r="17" spans="1:27" ht="9.9" customHeight="1" x14ac:dyDescent="0.3">
      <c r="A17" s="60" t="s">
        <v>87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/>
      <c r="R17"/>
      <c r="S17"/>
      <c r="T17"/>
      <c r="U17"/>
      <c r="V17"/>
      <c r="W17"/>
      <c r="X17"/>
      <c r="Y17"/>
      <c r="Z17"/>
      <c r="AA17"/>
    </row>
    <row r="18" spans="1:27" ht="9.9" customHeight="1" x14ac:dyDescent="0.3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/>
      <c r="R18"/>
      <c r="S18"/>
      <c r="T18"/>
      <c r="U18"/>
      <c r="V18"/>
      <c r="W18"/>
      <c r="X18"/>
      <c r="Y18"/>
      <c r="Z18"/>
      <c r="AA18"/>
    </row>
    <row r="19" spans="1:27" ht="9.9" customHeight="1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/>
      <c r="R19"/>
      <c r="S19"/>
      <c r="T19"/>
      <c r="U19"/>
      <c r="V19"/>
      <c r="W19"/>
      <c r="X19"/>
      <c r="Y19"/>
      <c r="Z19"/>
      <c r="AA19"/>
    </row>
    <row r="20" spans="1:27" ht="9.9" customHeight="1" x14ac:dyDescent="0.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/>
      <c r="R20"/>
      <c r="S20"/>
      <c r="T20"/>
      <c r="U20" s="7">
        <v>0</v>
      </c>
      <c r="V20"/>
      <c r="W20"/>
      <c r="X20"/>
      <c r="Y20"/>
      <c r="Z20"/>
      <c r="AA20"/>
    </row>
    <row r="21" spans="1:27" ht="9.9" customHeight="1" x14ac:dyDescent="0.3">
      <c r="M21"/>
      <c r="N21"/>
      <c r="O21"/>
      <c r="P21"/>
      <c r="Q21"/>
      <c r="R21"/>
      <c r="S21"/>
      <c r="T21"/>
      <c r="U21" s="8">
        <v>0</v>
      </c>
      <c r="V21"/>
      <c r="W21"/>
      <c r="X21"/>
      <c r="Y21"/>
      <c r="Z21"/>
      <c r="AA21"/>
    </row>
    <row r="22" spans="1:27" ht="11.4" thickBot="1" x14ac:dyDescent="0.35">
      <c r="B22" s="1" t="s">
        <v>3</v>
      </c>
      <c r="C22" s="1" t="s">
        <v>3</v>
      </c>
      <c r="R22" s="1" t="s">
        <v>3</v>
      </c>
      <c r="S22" s="1" t="s">
        <v>3</v>
      </c>
      <c r="U22" s="1" t="s">
        <v>3</v>
      </c>
      <c r="V22" s="1"/>
      <c r="Z22" s="1" t="s">
        <v>3</v>
      </c>
    </row>
    <row r="23" spans="1:27" ht="24.9" customHeight="1" thickBot="1" x14ac:dyDescent="0.35">
      <c r="A23" s="9" t="s">
        <v>4</v>
      </c>
      <c r="B23" s="10" t="s">
        <v>5</v>
      </c>
      <c r="C23" s="10" t="s">
        <v>6</v>
      </c>
      <c r="D23" s="10" t="s">
        <v>7</v>
      </c>
      <c r="E23" s="10" t="s">
        <v>8</v>
      </c>
      <c r="F23" s="10" t="s">
        <v>9</v>
      </c>
      <c r="G23" s="10" t="s">
        <v>10</v>
      </c>
      <c r="H23" s="10" t="s">
        <v>11</v>
      </c>
      <c r="I23" s="10" t="s">
        <v>12</v>
      </c>
      <c r="J23" s="10" t="s">
        <v>13</v>
      </c>
      <c r="K23" s="10" t="s">
        <v>14</v>
      </c>
      <c r="L23" s="10" t="s">
        <v>15</v>
      </c>
      <c r="M23" s="10" t="s">
        <v>16</v>
      </c>
      <c r="N23" s="10" t="s">
        <v>17</v>
      </c>
      <c r="O23" s="10" t="s">
        <v>18</v>
      </c>
      <c r="P23" s="10" t="s">
        <v>19</v>
      </c>
      <c r="Q23" s="10" t="s">
        <v>20</v>
      </c>
      <c r="R23" s="10" t="s">
        <v>79</v>
      </c>
      <c r="S23" s="10" t="s">
        <v>21</v>
      </c>
      <c r="T23" s="11" t="s">
        <v>22</v>
      </c>
      <c r="U23" s="10" t="s">
        <v>23</v>
      </c>
      <c r="V23" s="10" t="s">
        <v>24</v>
      </c>
      <c r="W23" s="10" t="s">
        <v>25</v>
      </c>
      <c r="X23" s="10" t="s">
        <v>26</v>
      </c>
      <c r="Y23" s="10" t="s">
        <v>27</v>
      </c>
      <c r="Z23" s="12" t="s">
        <v>28</v>
      </c>
    </row>
    <row r="24" spans="1:27" x14ac:dyDescent="0.3">
      <c r="A24" s="13">
        <v>1</v>
      </c>
      <c r="B24" s="14" t="s">
        <v>98</v>
      </c>
      <c r="C24" s="13"/>
      <c r="D2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4" s="15" t="s">
        <v>123</v>
      </c>
      <c r="F2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4" s="13">
        <v>304</v>
      </c>
      <c r="H2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4" s="13" t="s">
        <v>126</v>
      </c>
      <c r="N2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4" s="13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4" s="13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4" s="13" t="s">
        <v>78</v>
      </c>
      <c r="R24" s="14">
        <v>990</v>
      </c>
      <c r="S24" s="16">
        <v>0.24725250000000001</v>
      </c>
      <c r="T24" s="17">
        <f>Banco_Invoice[[#This Row],[NET WEIGHT (Kg)]]*Banco_Invoice[[#This Row],[QUANTITY / M]]</f>
        <v>244.77997500000001</v>
      </c>
      <c r="U24" s="18">
        <v>0.73</v>
      </c>
      <c r="V24" s="18">
        <f>IF(AND($U$20&gt;0,$U$21&gt;0),Banco_Invoice[[#This Row],[ORIGINAL PRICE UNIT. (USD)]]*(($U$20-$U$21)/$U$20),Banco_Invoice[[#This Row],[ORIGINAL PRICE UNIT. (USD)]])</f>
        <v>0.73</v>
      </c>
      <c r="W24" s="19">
        <f>Banco_Invoice[[#This Row],[PRICE UNIT. (USD)]]*Banco_Invoice[[#This Row],[QUANTITY / M]]</f>
        <v>722.69999999999993</v>
      </c>
      <c r="X24" s="13">
        <v>73064000</v>
      </c>
      <c r="Y24" s="13"/>
      <c r="Z24" s="20"/>
    </row>
    <row r="25" spans="1:27" x14ac:dyDescent="0.3">
      <c r="A25" s="21">
        <v>2</v>
      </c>
      <c r="B25" s="22" t="s">
        <v>99</v>
      </c>
      <c r="C25" s="21"/>
      <c r="D2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5" s="15" t="s">
        <v>123</v>
      </c>
      <c r="F2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5" s="13">
        <v>304</v>
      </c>
      <c r="H2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5" s="13" t="s">
        <v>127</v>
      </c>
      <c r="N2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5" s="13" t="s">
        <v>78</v>
      </c>
      <c r="R25" s="14">
        <v>2952</v>
      </c>
      <c r="S25" s="24">
        <v>0.34154999999999996</v>
      </c>
      <c r="T25" s="25">
        <f>Banco_Invoice[[#This Row],[NET WEIGHT (Kg)]]*Banco_Invoice[[#This Row],[QUANTITY / M]]</f>
        <v>1008.2555999999998</v>
      </c>
      <c r="U25" s="18">
        <v>0.89</v>
      </c>
      <c r="V25" s="26">
        <f>IF(AND($U$20&gt;0,$U$21&gt;0),Banco_Invoice[[#This Row],[ORIGINAL PRICE UNIT. (USD)]]*(($U$20-$U$21)/$U$20),Banco_Invoice[[#This Row],[ORIGINAL PRICE UNIT. (USD)]])</f>
        <v>0.89</v>
      </c>
      <c r="W25" s="27">
        <f>Banco_Invoice[[#This Row],[PRICE UNIT. (USD)]]*Banco_Invoice[[#This Row],[QUANTITY / M]]</f>
        <v>2627.28</v>
      </c>
      <c r="X25" s="13">
        <v>73064000</v>
      </c>
      <c r="Y25" s="13"/>
      <c r="Z25" s="28"/>
    </row>
    <row r="26" spans="1:27" x14ac:dyDescent="0.3">
      <c r="A26" s="21">
        <v>3</v>
      </c>
      <c r="B26" s="22" t="s">
        <v>100</v>
      </c>
      <c r="C26" s="21"/>
      <c r="D2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6" s="15" t="s">
        <v>123</v>
      </c>
      <c r="F2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6" s="13">
        <v>304</v>
      </c>
      <c r="H2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6" s="13" t="s">
        <v>128</v>
      </c>
      <c r="N2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6" s="13" t="s">
        <v>78</v>
      </c>
      <c r="R26" s="14">
        <v>570</v>
      </c>
      <c r="S26" s="24">
        <v>0.4358475</v>
      </c>
      <c r="T26" s="25">
        <f>Banco_Invoice[[#This Row],[NET WEIGHT (Kg)]]*Banco_Invoice[[#This Row],[QUANTITY / M]]</f>
        <v>248.433075</v>
      </c>
      <c r="U26" s="18">
        <v>1.1399999999999999</v>
      </c>
      <c r="V26" s="26">
        <f>IF(AND($U$20&gt;0,$U$21&gt;0),Banco_Invoice[[#This Row],[ORIGINAL PRICE UNIT. (USD)]]*(($U$20-$U$21)/$U$20),Banco_Invoice[[#This Row],[ORIGINAL PRICE UNIT. (USD)]])</f>
        <v>1.1399999999999999</v>
      </c>
      <c r="W26" s="27">
        <f>Banco_Invoice[[#This Row],[PRICE UNIT. (USD)]]*Banco_Invoice[[#This Row],[QUANTITY / M]]</f>
        <v>649.79999999999995</v>
      </c>
      <c r="X26" s="13">
        <v>73064000</v>
      </c>
      <c r="Y26" s="13"/>
      <c r="Z26" s="28"/>
    </row>
    <row r="27" spans="1:27" x14ac:dyDescent="0.3">
      <c r="A27" s="21">
        <v>4</v>
      </c>
      <c r="B27" s="22" t="s">
        <v>101</v>
      </c>
      <c r="C27" s="21"/>
      <c r="D2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7" s="15" t="s">
        <v>123</v>
      </c>
      <c r="F2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7" s="13">
        <v>304</v>
      </c>
      <c r="H2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7" s="13" t="s">
        <v>129</v>
      </c>
      <c r="N2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7" s="13" t="s">
        <v>78</v>
      </c>
      <c r="R27" s="14">
        <v>1896</v>
      </c>
      <c r="S27" s="24">
        <v>0.53014500000000009</v>
      </c>
      <c r="T27" s="25">
        <f>Banco_Invoice[[#This Row],[NET WEIGHT (Kg)]]*Banco_Invoice[[#This Row],[QUANTITY / M]]</f>
        <v>1005.1549200000002</v>
      </c>
      <c r="U27" s="18">
        <v>1.36</v>
      </c>
      <c r="V27" s="26">
        <f>IF(AND($U$20&gt;0,$U$21&gt;0),Banco_Invoice[[#This Row],[ORIGINAL PRICE UNIT. (USD)]]*(($U$20-$U$21)/$U$20),Banco_Invoice[[#This Row],[ORIGINAL PRICE UNIT. (USD)]])</f>
        <v>1.36</v>
      </c>
      <c r="W27" s="27">
        <f>Banco_Invoice[[#This Row],[PRICE UNIT. (USD)]]*Banco_Invoice[[#This Row],[QUANTITY / M]]</f>
        <v>2578.5600000000004</v>
      </c>
      <c r="X27" s="13">
        <v>73064000</v>
      </c>
      <c r="Y27" s="13"/>
      <c r="Z27" s="28"/>
    </row>
    <row r="28" spans="1:27" x14ac:dyDescent="0.3">
      <c r="A28" s="13">
        <v>5</v>
      </c>
      <c r="B28" s="22" t="s">
        <v>102</v>
      </c>
      <c r="C28" s="21"/>
      <c r="D2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8" s="15" t="s">
        <v>123</v>
      </c>
      <c r="F2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8" s="13">
        <v>304</v>
      </c>
      <c r="H2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8" s="13" t="s">
        <v>130</v>
      </c>
      <c r="N2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8" s="13" t="s">
        <v>78</v>
      </c>
      <c r="R28" s="14">
        <v>402</v>
      </c>
      <c r="S28" s="24">
        <v>0.62444250000000001</v>
      </c>
      <c r="T28" s="25">
        <f>Banco_Invoice[[#This Row],[NET WEIGHT (Kg)]]*Banco_Invoice[[#This Row],[QUANTITY / M]]</f>
        <v>251.02588500000002</v>
      </c>
      <c r="U28" s="18">
        <v>1.6</v>
      </c>
      <c r="V28" s="26">
        <f>IF(AND($U$20&gt;0,$U$21&gt;0),Banco_Invoice[[#This Row],[ORIGINAL PRICE UNIT. (USD)]]*(($U$20-$U$21)/$U$20),Banco_Invoice[[#This Row],[ORIGINAL PRICE UNIT. (USD)]])</f>
        <v>1.6</v>
      </c>
      <c r="W28" s="27">
        <f>Banco_Invoice[[#This Row],[PRICE UNIT. (USD)]]*Banco_Invoice[[#This Row],[QUANTITY / M]]</f>
        <v>643.20000000000005</v>
      </c>
      <c r="X28" s="13">
        <v>73064000</v>
      </c>
      <c r="Y28" s="13"/>
      <c r="Z28" s="28"/>
    </row>
    <row r="29" spans="1:27" x14ac:dyDescent="0.3">
      <c r="A29" s="21">
        <v>6</v>
      </c>
      <c r="B29" s="22" t="s">
        <v>103</v>
      </c>
      <c r="C29" s="21"/>
      <c r="D2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9" s="15" t="s">
        <v>123</v>
      </c>
      <c r="F2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9" s="13">
        <v>304</v>
      </c>
      <c r="H2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9" s="13" t="s">
        <v>131</v>
      </c>
      <c r="N2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9" s="13" t="s">
        <v>78</v>
      </c>
      <c r="R29" s="14">
        <v>3930</v>
      </c>
      <c r="S29" s="24">
        <v>0.71874000000000005</v>
      </c>
      <c r="T29" s="25">
        <f>Banco_Invoice[[#This Row],[NET WEIGHT (Kg)]]*Banco_Invoice[[#This Row],[QUANTITY / M]]</f>
        <v>2824.6482000000001</v>
      </c>
      <c r="U29" s="18">
        <v>1.84</v>
      </c>
      <c r="V29" s="26">
        <f>IF(AND($U$20&gt;0,$U$21&gt;0),Banco_Invoice[[#This Row],[ORIGINAL PRICE UNIT. (USD)]]*(($U$20-$U$21)/$U$20),Banco_Invoice[[#This Row],[ORIGINAL PRICE UNIT. (USD)]])</f>
        <v>1.84</v>
      </c>
      <c r="W29" s="27">
        <f>Banco_Invoice[[#This Row],[PRICE UNIT. (USD)]]*Banco_Invoice[[#This Row],[QUANTITY / M]]</f>
        <v>7231.2000000000007</v>
      </c>
      <c r="X29" s="13">
        <v>73064000</v>
      </c>
      <c r="Y29" s="13"/>
      <c r="Z29" s="28"/>
    </row>
    <row r="30" spans="1:27" x14ac:dyDescent="0.3">
      <c r="A30" s="21">
        <v>7</v>
      </c>
      <c r="B30" s="22" t="s">
        <v>104</v>
      </c>
      <c r="C30" s="21"/>
      <c r="D3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0" s="15" t="s">
        <v>123</v>
      </c>
      <c r="F3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0" s="13">
        <v>304</v>
      </c>
      <c r="H3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0" s="13" t="s">
        <v>132</v>
      </c>
      <c r="N3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0" s="13" t="s">
        <v>78</v>
      </c>
      <c r="R30" s="14">
        <v>1104</v>
      </c>
      <c r="S30" s="24">
        <v>0.907335</v>
      </c>
      <c r="T30" s="25">
        <f>Banco_Invoice[[#This Row],[NET WEIGHT (Kg)]]*Banco_Invoice[[#This Row],[QUANTITY / M]]</f>
        <v>1001.69784</v>
      </c>
      <c r="U30" s="18">
        <v>2.33</v>
      </c>
      <c r="V30" s="26">
        <f>IF(AND($U$20&gt;0,$U$21&gt;0),Banco_Invoice[[#This Row],[ORIGINAL PRICE UNIT. (USD)]]*(($U$20-$U$21)/$U$20),Banco_Invoice[[#This Row],[ORIGINAL PRICE UNIT. (USD)]])</f>
        <v>2.33</v>
      </c>
      <c r="W30" s="27">
        <f>Banco_Invoice[[#This Row],[PRICE UNIT. (USD)]]*Banco_Invoice[[#This Row],[QUANTITY / M]]</f>
        <v>2572.3200000000002</v>
      </c>
      <c r="X30" s="13">
        <v>73064000</v>
      </c>
      <c r="Y30" s="13"/>
      <c r="Z30" s="28"/>
    </row>
    <row r="31" spans="1:27" x14ac:dyDescent="0.3">
      <c r="A31" s="21">
        <v>8</v>
      </c>
      <c r="B31" s="22" t="s">
        <v>105</v>
      </c>
      <c r="C31" s="21"/>
      <c r="D3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1" s="15" t="s">
        <v>123</v>
      </c>
      <c r="F3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1" s="13">
        <v>304</v>
      </c>
      <c r="H3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1" s="13" t="s">
        <v>133</v>
      </c>
      <c r="N3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1" s="13" t="s">
        <v>78</v>
      </c>
      <c r="R31" s="14">
        <v>5700</v>
      </c>
      <c r="S31" s="24">
        <v>1.0959299999999998</v>
      </c>
      <c r="T31" s="25">
        <f>Banco_Invoice[[#This Row],[NET WEIGHT (Kg)]]*Banco_Invoice[[#This Row],[QUANTITY / M]]</f>
        <v>6246.8009999999995</v>
      </c>
      <c r="U31" s="18">
        <v>2.81</v>
      </c>
      <c r="V31" s="26">
        <f>IF(AND($U$20&gt;0,$U$21&gt;0),Banco_Invoice[[#This Row],[ORIGINAL PRICE UNIT. (USD)]]*(($U$20-$U$21)/$U$20),Banco_Invoice[[#This Row],[ORIGINAL PRICE UNIT. (USD)]])</f>
        <v>2.81</v>
      </c>
      <c r="W31" s="27">
        <f>Banco_Invoice[[#This Row],[PRICE UNIT. (USD)]]*Banco_Invoice[[#This Row],[QUANTITY / M]]</f>
        <v>16017</v>
      </c>
      <c r="X31" s="13">
        <v>73064000</v>
      </c>
      <c r="Y31" s="13"/>
      <c r="Z31" s="28"/>
    </row>
    <row r="32" spans="1:27" x14ac:dyDescent="0.3">
      <c r="A32" s="13">
        <v>9</v>
      </c>
      <c r="B32" s="22" t="s">
        <v>106</v>
      </c>
      <c r="C32" s="21"/>
      <c r="D3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2" s="15" t="s">
        <v>123</v>
      </c>
      <c r="F3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2" s="13">
        <v>304</v>
      </c>
      <c r="H3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2" s="13" t="s">
        <v>134</v>
      </c>
      <c r="N3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2" s="13" t="s">
        <v>78</v>
      </c>
      <c r="R32" s="14">
        <v>5700</v>
      </c>
      <c r="S32" s="24">
        <v>1.4731199999999998</v>
      </c>
      <c r="T32" s="25">
        <f>Banco_Invoice[[#This Row],[NET WEIGHT (Kg)]]*Banco_Invoice[[#This Row],[QUANTITY / M]]</f>
        <v>8396.7839999999978</v>
      </c>
      <c r="U32" s="18">
        <v>3.77</v>
      </c>
      <c r="V32" s="26">
        <f>IF(AND($U$20&gt;0,$U$21&gt;0),Banco_Invoice[[#This Row],[ORIGINAL PRICE UNIT. (USD)]]*(($U$20-$U$21)/$U$20),Banco_Invoice[[#This Row],[ORIGINAL PRICE UNIT. (USD)]])</f>
        <v>3.77</v>
      </c>
      <c r="W32" s="27">
        <f>Banco_Invoice[[#This Row],[PRICE UNIT. (USD)]]*Banco_Invoice[[#This Row],[QUANTITY / M]]</f>
        <v>21489</v>
      </c>
      <c r="X32" s="13">
        <v>73064000</v>
      </c>
      <c r="Y32" s="13"/>
      <c r="Z32" s="28"/>
    </row>
    <row r="33" spans="1:26" x14ac:dyDescent="0.3">
      <c r="A33" s="21">
        <v>10</v>
      </c>
      <c r="B33" s="22" t="s">
        <v>107</v>
      </c>
      <c r="C33" s="21"/>
      <c r="D3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3" s="15" t="s">
        <v>124</v>
      </c>
      <c r="F3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3" s="13">
        <v>304</v>
      </c>
      <c r="H3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3" s="13" t="s">
        <v>135</v>
      </c>
      <c r="N3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3" s="13" t="s">
        <v>78</v>
      </c>
      <c r="R33" s="14">
        <v>810</v>
      </c>
      <c r="S33" s="24">
        <v>0.29792812500000004</v>
      </c>
      <c r="T33" s="25">
        <f>Banco_Invoice[[#This Row],[NET WEIGHT (Kg)]]*Banco_Invoice[[#This Row],[QUANTITY / M]]</f>
        <v>241.32178125000004</v>
      </c>
      <c r="U33" s="18">
        <v>0.88</v>
      </c>
      <c r="V33" s="26">
        <f>IF(AND($U$20&gt;0,$U$21&gt;0),Banco_Invoice[[#This Row],[ORIGINAL PRICE UNIT. (USD)]]*(($U$20-$U$21)/$U$20),Banco_Invoice[[#This Row],[ORIGINAL PRICE UNIT. (USD)]])</f>
        <v>0.88</v>
      </c>
      <c r="W33" s="27">
        <f>Banco_Invoice[[#This Row],[PRICE UNIT. (USD)]]*Banco_Invoice[[#This Row],[QUANTITY / M]]</f>
        <v>712.8</v>
      </c>
      <c r="X33" s="13">
        <v>73064000</v>
      </c>
      <c r="Y33" s="13"/>
      <c r="Z33" s="28"/>
    </row>
    <row r="34" spans="1:26" x14ac:dyDescent="0.3">
      <c r="A34" s="21">
        <v>11</v>
      </c>
      <c r="B34" s="22" t="s">
        <v>108</v>
      </c>
      <c r="C34" s="21"/>
      <c r="D3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4" s="15" t="s">
        <v>124</v>
      </c>
      <c r="F3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4" s="13">
        <v>304</v>
      </c>
      <c r="H3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4" s="13" t="s">
        <v>136</v>
      </c>
      <c r="N3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4" s="13" t="s">
        <v>78</v>
      </c>
      <c r="R34" s="14">
        <v>4800</v>
      </c>
      <c r="S34" s="24">
        <v>0.41579999999999995</v>
      </c>
      <c r="T34" s="25">
        <f>Banco_Invoice[[#This Row],[NET WEIGHT (Kg)]]*Banco_Invoice[[#This Row],[QUANTITY / M]]</f>
        <v>1995.8399999999997</v>
      </c>
      <c r="U34" s="18">
        <v>1.06</v>
      </c>
      <c r="V34" s="26">
        <f>IF(AND($U$20&gt;0,$U$21&gt;0),Banco_Invoice[[#This Row],[ORIGINAL PRICE UNIT. (USD)]]*(($U$20-$U$21)/$U$20),Banco_Invoice[[#This Row],[ORIGINAL PRICE UNIT. (USD)]])</f>
        <v>1.06</v>
      </c>
      <c r="W34" s="27">
        <f>Banco_Invoice[[#This Row],[PRICE UNIT. (USD)]]*Banco_Invoice[[#This Row],[QUANTITY / M]]</f>
        <v>5088</v>
      </c>
      <c r="X34" s="13">
        <v>73064000</v>
      </c>
      <c r="Y34" s="13"/>
      <c r="Z34" s="28"/>
    </row>
    <row r="35" spans="1:26" x14ac:dyDescent="0.3">
      <c r="A35" s="21">
        <v>12</v>
      </c>
      <c r="B35" s="22" t="s">
        <v>109</v>
      </c>
      <c r="C35" s="21"/>
      <c r="D3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5" s="15" t="s">
        <v>124</v>
      </c>
      <c r="F3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5" s="13">
        <v>304</v>
      </c>
      <c r="H3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5" s="13" t="s">
        <v>137</v>
      </c>
      <c r="N3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5" s="13" t="s">
        <v>78</v>
      </c>
      <c r="R35" s="14">
        <v>468</v>
      </c>
      <c r="S35" s="24">
        <v>0.53367187500000002</v>
      </c>
      <c r="T35" s="25">
        <f>Banco_Invoice[[#This Row],[NET WEIGHT (Kg)]]*Banco_Invoice[[#This Row],[QUANTITY / M]]</f>
        <v>249.75843750000001</v>
      </c>
      <c r="U35" s="18">
        <v>1.36</v>
      </c>
      <c r="V35" s="26">
        <f>IF(AND($U$20&gt;0,$U$21&gt;0),Banco_Invoice[[#This Row],[ORIGINAL PRICE UNIT. (USD)]]*(($U$20-$U$21)/$U$20),Banco_Invoice[[#This Row],[ORIGINAL PRICE UNIT. (USD)]])</f>
        <v>1.36</v>
      </c>
      <c r="W35" s="27">
        <f>Banco_Invoice[[#This Row],[PRICE UNIT. (USD)]]*Banco_Invoice[[#This Row],[QUANTITY / M]]</f>
        <v>636.48</v>
      </c>
      <c r="X35" s="13">
        <v>73064000</v>
      </c>
      <c r="Y35" s="13"/>
      <c r="Z35" s="28"/>
    </row>
    <row r="36" spans="1:26" x14ac:dyDescent="0.3">
      <c r="A36" s="13">
        <v>13</v>
      </c>
      <c r="B36" s="22" t="s">
        <v>110</v>
      </c>
      <c r="C36" s="21"/>
      <c r="D3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6" s="15" t="s">
        <v>124</v>
      </c>
      <c r="F3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6" s="13">
        <v>304</v>
      </c>
      <c r="H3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6" s="13" t="s">
        <v>138</v>
      </c>
      <c r="N3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6" s="13" t="s">
        <v>78</v>
      </c>
      <c r="R36" s="14">
        <v>7200</v>
      </c>
      <c r="S36" s="24">
        <v>0.65154375000000009</v>
      </c>
      <c r="T36" s="25">
        <f>Banco_Invoice[[#This Row],[NET WEIGHT (Kg)]]*Banco_Invoice[[#This Row],[QUANTITY / M]]</f>
        <v>4691.1150000000007</v>
      </c>
      <c r="U36" s="18">
        <v>1.63</v>
      </c>
      <c r="V36" s="26">
        <f>IF(AND($U$20&gt;0,$U$21&gt;0),Banco_Invoice[[#This Row],[ORIGINAL PRICE UNIT. (USD)]]*(($U$20-$U$21)/$U$20),Banco_Invoice[[#This Row],[ORIGINAL PRICE UNIT. (USD)]])</f>
        <v>1.63</v>
      </c>
      <c r="W36" s="27">
        <f>Banco_Invoice[[#This Row],[PRICE UNIT. (USD)]]*Banco_Invoice[[#This Row],[QUANTITY / M]]</f>
        <v>11736</v>
      </c>
      <c r="X36" s="13">
        <v>73064000</v>
      </c>
      <c r="Y36" s="13"/>
      <c r="Z36" s="28"/>
    </row>
    <row r="37" spans="1:26" x14ac:dyDescent="0.3">
      <c r="A37" s="21">
        <v>14</v>
      </c>
      <c r="B37" s="22" t="s">
        <v>111</v>
      </c>
      <c r="C37" s="21"/>
      <c r="D3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7" s="15" t="s">
        <v>124</v>
      </c>
      <c r="F3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7" s="13">
        <v>304</v>
      </c>
      <c r="H3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7" s="13" t="s">
        <v>139</v>
      </c>
      <c r="N3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7" s="13" t="s">
        <v>78</v>
      </c>
      <c r="R37" s="14">
        <v>324</v>
      </c>
      <c r="S37" s="24">
        <v>0.76941562500000005</v>
      </c>
      <c r="T37" s="25">
        <f>Banco_Invoice[[#This Row],[NET WEIGHT (Kg)]]*Banco_Invoice[[#This Row],[QUANTITY / M]]</f>
        <v>249.29066250000002</v>
      </c>
      <c r="U37" s="18">
        <v>1.93</v>
      </c>
      <c r="V37" s="26">
        <f>IF(AND($U$20&gt;0,$U$21&gt;0),Banco_Invoice[[#This Row],[ORIGINAL PRICE UNIT. (USD)]]*(($U$20-$U$21)/$U$20),Banco_Invoice[[#This Row],[ORIGINAL PRICE UNIT. (USD)]])</f>
        <v>1.93</v>
      </c>
      <c r="W37" s="27">
        <f>Banco_Invoice[[#This Row],[PRICE UNIT. (USD)]]*Banco_Invoice[[#This Row],[QUANTITY / M]]</f>
        <v>625.31999999999994</v>
      </c>
      <c r="X37" s="13">
        <v>73064000</v>
      </c>
      <c r="Y37" s="13"/>
      <c r="Z37" s="28"/>
    </row>
    <row r="38" spans="1:26" x14ac:dyDescent="0.3">
      <c r="A38" s="21">
        <v>15</v>
      </c>
      <c r="B38" s="22" t="s">
        <v>112</v>
      </c>
      <c r="C38" s="21"/>
      <c r="D3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8" s="15" t="s">
        <v>124</v>
      </c>
      <c r="F3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8" s="13">
        <v>304</v>
      </c>
      <c r="H3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8" s="13" t="s">
        <v>140</v>
      </c>
      <c r="N3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8" s="13" t="s">
        <v>78</v>
      </c>
      <c r="R38" s="14">
        <v>5700</v>
      </c>
      <c r="S38" s="24">
        <v>0.8872874999999999</v>
      </c>
      <c r="T38" s="25">
        <f>Banco_Invoice[[#This Row],[NET WEIGHT (Kg)]]*Banco_Invoice[[#This Row],[QUANTITY / M]]</f>
        <v>5057.5387499999997</v>
      </c>
      <c r="U38" s="18">
        <v>2.2200000000000002</v>
      </c>
      <c r="V38" s="26">
        <f>IF(AND($U$20&gt;0,$U$21&gt;0),Banco_Invoice[[#This Row],[ORIGINAL PRICE UNIT. (USD)]]*(($U$20-$U$21)/$U$20),Banco_Invoice[[#This Row],[ORIGINAL PRICE UNIT. (USD)]])</f>
        <v>2.2200000000000002</v>
      </c>
      <c r="W38" s="27">
        <f>Banco_Invoice[[#This Row],[PRICE UNIT. (USD)]]*Banco_Invoice[[#This Row],[QUANTITY / M]]</f>
        <v>12654.000000000002</v>
      </c>
      <c r="X38" s="13">
        <v>73064000</v>
      </c>
      <c r="Y38" s="13"/>
      <c r="Z38" s="28"/>
    </row>
    <row r="39" spans="1:26" x14ac:dyDescent="0.3">
      <c r="A39" s="21">
        <v>16</v>
      </c>
      <c r="B39" s="22" t="s">
        <v>113</v>
      </c>
      <c r="C39" s="21"/>
      <c r="D3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9" s="15" t="s">
        <v>124</v>
      </c>
      <c r="F3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9" s="13">
        <v>304</v>
      </c>
      <c r="H3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9" s="13" t="s">
        <v>141</v>
      </c>
      <c r="N3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9" s="13" t="s">
        <v>78</v>
      </c>
      <c r="R39" s="14">
        <v>1800</v>
      </c>
      <c r="S39" s="24">
        <v>1.1230312500000001</v>
      </c>
      <c r="T39" s="25">
        <f>Banco_Invoice[[#This Row],[NET WEIGHT (Kg)]]*Banco_Invoice[[#This Row],[QUANTITY / M]]</f>
        <v>2021.4562500000002</v>
      </c>
      <c r="U39" s="18">
        <v>2.81</v>
      </c>
      <c r="V39" s="26">
        <f>IF(AND($U$20&gt;0,$U$21&gt;0),Banco_Invoice[[#This Row],[ORIGINAL PRICE UNIT. (USD)]]*(($U$20-$U$21)/$U$20),Banco_Invoice[[#This Row],[ORIGINAL PRICE UNIT. (USD)]])</f>
        <v>2.81</v>
      </c>
      <c r="W39" s="27">
        <f>Banco_Invoice[[#This Row],[PRICE UNIT. (USD)]]*Banco_Invoice[[#This Row],[QUANTITY / M]]</f>
        <v>5058</v>
      </c>
      <c r="X39" s="13">
        <v>73064000</v>
      </c>
      <c r="Y39" s="13"/>
      <c r="Z39" s="28"/>
    </row>
    <row r="40" spans="1:26" x14ac:dyDescent="0.3">
      <c r="A40" s="13">
        <v>17</v>
      </c>
      <c r="B40" s="22" t="s">
        <v>114</v>
      </c>
      <c r="C40" s="21"/>
      <c r="D4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0" s="15" t="s">
        <v>124</v>
      </c>
      <c r="F4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0" s="13">
        <v>304</v>
      </c>
      <c r="H4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0" s="13" t="s">
        <v>142</v>
      </c>
      <c r="N4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0" s="13" t="s">
        <v>78</v>
      </c>
      <c r="R40" s="14">
        <v>10500</v>
      </c>
      <c r="S40" s="24">
        <v>1.3587750000000003</v>
      </c>
      <c r="T40" s="25">
        <f>Banco_Invoice[[#This Row],[NET WEIGHT (Kg)]]*Banco_Invoice[[#This Row],[QUANTITY / M]]</f>
        <v>14267.137500000003</v>
      </c>
      <c r="U40" s="18">
        <v>3.4</v>
      </c>
      <c r="V40" s="26">
        <f>IF(AND($U$20&gt;0,$U$21&gt;0),Banco_Invoice[[#This Row],[ORIGINAL PRICE UNIT. (USD)]]*(($U$20-$U$21)/$U$20),Banco_Invoice[[#This Row],[ORIGINAL PRICE UNIT. (USD)]])</f>
        <v>3.4</v>
      </c>
      <c r="W40" s="27">
        <f>Banco_Invoice[[#This Row],[PRICE UNIT. (USD)]]*Banco_Invoice[[#This Row],[QUANTITY / M]]</f>
        <v>35700</v>
      </c>
      <c r="X40" s="13">
        <v>73064000</v>
      </c>
      <c r="Y40" s="13"/>
      <c r="Z40" s="28"/>
    </row>
    <row r="41" spans="1:26" x14ac:dyDescent="0.3">
      <c r="A41" s="21">
        <v>18</v>
      </c>
      <c r="B41" s="22" t="s">
        <v>115</v>
      </c>
      <c r="C41" s="21"/>
      <c r="D4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1" s="15" t="s">
        <v>124</v>
      </c>
      <c r="F4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1" s="13">
        <v>304</v>
      </c>
      <c r="H4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1" s="13" t="s">
        <v>143</v>
      </c>
      <c r="N4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1" s="13" t="s">
        <v>78</v>
      </c>
      <c r="R41" s="14">
        <v>14640</v>
      </c>
      <c r="S41" s="24">
        <v>1.8302624999999999</v>
      </c>
      <c r="T41" s="25">
        <f>Banco_Invoice[[#This Row],[NET WEIGHT (Kg)]]*Banco_Invoice[[#This Row],[QUANTITY / M]]</f>
        <v>26795.042999999998</v>
      </c>
      <c r="U41" s="18">
        <v>4.57</v>
      </c>
      <c r="V41" s="26">
        <f>IF(AND($U$20&gt;0,$U$21&gt;0),Banco_Invoice[[#This Row],[ORIGINAL PRICE UNIT. (USD)]]*(($U$20-$U$21)/$U$20),Banco_Invoice[[#This Row],[ORIGINAL PRICE UNIT. (USD)]])</f>
        <v>4.57</v>
      </c>
      <c r="W41" s="27">
        <f>Banco_Invoice[[#This Row],[PRICE UNIT. (USD)]]*Banco_Invoice[[#This Row],[QUANTITY / M]]</f>
        <v>66904.800000000003</v>
      </c>
      <c r="X41" s="13">
        <v>73064000</v>
      </c>
      <c r="Y41" s="13"/>
      <c r="Z41" s="28"/>
    </row>
    <row r="42" spans="1:26" x14ac:dyDescent="0.3">
      <c r="A42" s="21">
        <v>19</v>
      </c>
      <c r="B42" s="22" t="s">
        <v>116</v>
      </c>
      <c r="C42" s="21"/>
      <c r="D4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2" s="15" t="s">
        <v>124</v>
      </c>
      <c r="F4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2" s="13">
        <v>304</v>
      </c>
      <c r="H4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2" s="13" t="s">
        <v>144</v>
      </c>
      <c r="N4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2" s="13" t="s">
        <v>78</v>
      </c>
      <c r="R42" s="14">
        <v>864</v>
      </c>
      <c r="S42" s="24">
        <v>2.3017500000000002</v>
      </c>
      <c r="T42" s="25">
        <f>Banco_Invoice[[#This Row],[NET WEIGHT (Kg)]]*Banco_Invoice[[#This Row],[QUANTITY / M]]</f>
        <v>1988.7120000000002</v>
      </c>
      <c r="U42" s="18">
        <v>5.74</v>
      </c>
      <c r="V42" s="26">
        <f>IF(AND($U$20&gt;0,$U$21&gt;0),Banco_Invoice[[#This Row],[ORIGINAL PRICE UNIT. (USD)]]*(($U$20-$U$21)/$U$20),Banco_Invoice[[#This Row],[ORIGINAL PRICE UNIT. (USD)]])</f>
        <v>5.74</v>
      </c>
      <c r="W42" s="27">
        <f>Banco_Invoice[[#This Row],[PRICE UNIT. (USD)]]*Banco_Invoice[[#This Row],[QUANTITY / M]]</f>
        <v>4959.3600000000006</v>
      </c>
      <c r="X42" s="13">
        <v>73064000</v>
      </c>
      <c r="Y42" s="13"/>
      <c r="Z42" s="28"/>
    </row>
    <row r="43" spans="1:26" x14ac:dyDescent="0.3">
      <c r="A43" s="21">
        <v>20</v>
      </c>
      <c r="B43" s="22" t="s">
        <v>117</v>
      </c>
      <c r="C43" s="21"/>
      <c r="D4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3" s="15" t="s">
        <v>124</v>
      </c>
      <c r="F4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3" s="13">
        <v>304</v>
      </c>
      <c r="H4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3" s="13" t="s">
        <v>145</v>
      </c>
      <c r="N4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3" s="13" t="s">
        <v>78</v>
      </c>
      <c r="R43" s="14">
        <v>4640</v>
      </c>
      <c r="S43" s="24">
        <v>2.7732375000000005</v>
      </c>
      <c r="T43" s="25">
        <f>Banco_Invoice[[#This Row],[NET WEIGHT (Kg)]]*Banco_Invoice[[#This Row],[QUANTITY / M]]</f>
        <v>12867.822000000002</v>
      </c>
      <c r="U43" s="18">
        <v>6.92</v>
      </c>
      <c r="V43" s="26">
        <f>IF(AND($U$20&gt;0,$U$21&gt;0),Banco_Invoice[[#This Row],[ORIGINAL PRICE UNIT. (USD)]]*(($U$20-$U$21)/$U$20),Banco_Invoice[[#This Row],[ORIGINAL PRICE UNIT. (USD)]])</f>
        <v>6.92</v>
      </c>
      <c r="W43" s="27">
        <f>Banco_Invoice[[#This Row],[PRICE UNIT. (USD)]]*Banco_Invoice[[#This Row],[QUANTITY / M]]</f>
        <v>32108.799999999999</v>
      </c>
      <c r="X43" s="13">
        <v>73064000</v>
      </c>
      <c r="Y43" s="13"/>
      <c r="Z43" s="28"/>
    </row>
    <row r="44" spans="1:26" x14ac:dyDescent="0.3">
      <c r="A44" s="13">
        <v>21</v>
      </c>
      <c r="B44" s="22" t="s">
        <v>118</v>
      </c>
      <c r="C44" s="21"/>
      <c r="D4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4" s="15" t="s">
        <v>124</v>
      </c>
      <c r="F4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4" s="13">
        <v>304</v>
      </c>
      <c r="H4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4" s="13" t="s">
        <v>146</v>
      </c>
      <c r="N4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4" s="13" t="s">
        <v>78</v>
      </c>
      <c r="R44" s="14">
        <v>3300</v>
      </c>
      <c r="S44" s="24">
        <v>3.7162124999999997</v>
      </c>
      <c r="T44" s="25">
        <f>Banco_Invoice[[#This Row],[NET WEIGHT (Kg)]]*Banco_Invoice[[#This Row],[QUANTITY / M]]</f>
        <v>12263.501249999999</v>
      </c>
      <c r="U44" s="18">
        <v>9.27</v>
      </c>
      <c r="V44" s="26">
        <f>IF(AND($U$20&gt;0,$U$21&gt;0),Banco_Invoice[[#This Row],[ORIGINAL PRICE UNIT. (USD)]]*(($U$20-$U$21)/$U$20),Banco_Invoice[[#This Row],[ORIGINAL PRICE UNIT. (USD)]])</f>
        <v>9.27</v>
      </c>
      <c r="W44" s="27">
        <f>Banco_Invoice[[#This Row],[PRICE UNIT. (USD)]]*Banco_Invoice[[#This Row],[QUANTITY / M]]</f>
        <v>30591</v>
      </c>
      <c r="X44" s="13">
        <v>73064000</v>
      </c>
      <c r="Y44" s="13"/>
      <c r="Z44" s="28"/>
    </row>
    <row r="45" spans="1:26" x14ac:dyDescent="0.3">
      <c r="A45" s="21">
        <v>22</v>
      </c>
      <c r="B45" s="22" t="s">
        <v>119</v>
      </c>
      <c r="C45" s="21"/>
      <c r="D4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5" s="15" t="s">
        <v>125</v>
      </c>
      <c r="F4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5" s="13">
        <v>304</v>
      </c>
      <c r="H4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5" s="13" t="s">
        <v>147</v>
      </c>
      <c r="N4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5" s="13" t="s">
        <v>78</v>
      </c>
      <c r="R45" s="14">
        <v>120</v>
      </c>
      <c r="S45" s="24">
        <v>6.1870000000000003</v>
      </c>
      <c r="T45" s="25">
        <f>Banco_Invoice[[#This Row],[NET WEIGHT (Kg)]]*Banco_Invoice[[#This Row],[QUANTITY / M]]</f>
        <v>742.44</v>
      </c>
      <c r="U45" s="18">
        <v>18.190000000000001</v>
      </c>
      <c r="V45" s="26">
        <f>IF(AND($U$20&gt;0,$U$21&gt;0),Banco_Invoice[[#This Row],[ORIGINAL PRICE UNIT. (USD)]]*(($U$20-$U$21)/$U$20),Banco_Invoice[[#This Row],[ORIGINAL PRICE UNIT. (USD)]])</f>
        <v>18.190000000000001</v>
      </c>
      <c r="W45" s="27">
        <f>Banco_Invoice[[#This Row],[PRICE UNIT. (USD)]]*Banco_Invoice[[#This Row],[QUANTITY / M]]</f>
        <v>2182.8000000000002</v>
      </c>
      <c r="X45" s="13">
        <v>73064000</v>
      </c>
      <c r="Y45" s="13"/>
      <c r="Z45" s="28"/>
    </row>
    <row r="46" spans="1:26" x14ac:dyDescent="0.3">
      <c r="A46" s="21">
        <v>23</v>
      </c>
      <c r="B46" s="22" t="s">
        <v>120</v>
      </c>
      <c r="C46" s="21"/>
      <c r="D4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6" s="15" t="s">
        <v>125</v>
      </c>
      <c r="F4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6" s="13">
        <v>304</v>
      </c>
      <c r="H4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6" s="13" t="s">
        <v>148</v>
      </c>
      <c r="N4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6" s="13" t="s">
        <v>78</v>
      </c>
      <c r="R46" s="14">
        <v>120</v>
      </c>
      <c r="S46" s="24">
        <v>7.444</v>
      </c>
      <c r="T46" s="25">
        <f>Banco_Invoice[[#This Row],[NET WEIGHT (Kg)]]*Banco_Invoice[[#This Row],[QUANTITY / M]]</f>
        <v>893.28</v>
      </c>
      <c r="U46" s="18">
        <v>21.89</v>
      </c>
      <c r="V46" s="26">
        <f>IF(AND($U$20&gt;0,$U$21&gt;0),Banco_Invoice[[#This Row],[ORIGINAL PRICE UNIT. (USD)]]*(($U$20-$U$21)/$U$20),Banco_Invoice[[#This Row],[ORIGINAL PRICE UNIT. (USD)]])</f>
        <v>21.89</v>
      </c>
      <c r="W46" s="27">
        <f>Banco_Invoice[[#This Row],[PRICE UNIT. (USD)]]*Banco_Invoice[[#This Row],[QUANTITY / M]]</f>
        <v>2626.8</v>
      </c>
      <c r="X46" s="13">
        <v>73064000</v>
      </c>
      <c r="Y46" s="13"/>
      <c r="Z46" s="28"/>
    </row>
    <row r="47" spans="1:26" x14ac:dyDescent="0.3">
      <c r="A47" s="21">
        <v>24</v>
      </c>
      <c r="B47" s="22" t="s">
        <v>121</v>
      </c>
      <c r="C47" s="21"/>
      <c r="D4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7" s="15" t="s">
        <v>125</v>
      </c>
      <c r="F4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7" s="13">
        <v>304</v>
      </c>
      <c r="H4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7" s="13" t="s">
        <v>149</v>
      </c>
      <c r="N4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7" s="13" t="s">
        <v>78</v>
      </c>
      <c r="R47" s="14">
        <v>120</v>
      </c>
      <c r="S47" s="24">
        <v>9.9594000000000005</v>
      </c>
      <c r="T47" s="25">
        <f>Banco_Invoice[[#This Row],[NET WEIGHT (Kg)]]*Banco_Invoice[[#This Row],[QUANTITY / M]]</f>
        <v>1195.1280000000002</v>
      </c>
      <c r="U47" s="18">
        <v>29.28</v>
      </c>
      <c r="V47" s="26">
        <f>IF(AND($U$20&gt;0,$U$21&gt;0),Banco_Invoice[[#This Row],[ORIGINAL PRICE UNIT. (USD)]]*(($U$20-$U$21)/$U$20),Banco_Invoice[[#This Row],[ORIGINAL PRICE UNIT. (USD)]])</f>
        <v>29.28</v>
      </c>
      <c r="W47" s="27">
        <f>Banco_Invoice[[#This Row],[PRICE UNIT. (USD)]]*Banco_Invoice[[#This Row],[QUANTITY / M]]</f>
        <v>3513.6000000000004</v>
      </c>
      <c r="X47" s="13">
        <v>73064000</v>
      </c>
      <c r="Y47" s="13"/>
      <c r="Z47" s="28"/>
    </row>
    <row r="48" spans="1:26" x14ac:dyDescent="0.3">
      <c r="A48" s="13">
        <v>25</v>
      </c>
      <c r="B48" s="22" t="s">
        <v>47</v>
      </c>
      <c r="C48" s="21"/>
      <c r="D4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8" s="15" t="s">
        <v>62</v>
      </c>
      <c r="F4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8" s="13">
        <v>304</v>
      </c>
      <c r="H4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8" s="13" t="s">
        <v>63</v>
      </c>
      <c r="N4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8" s="13" t="s">
        <v>78</v>
      </c>
      <c r="R48" s="23">
        <v>210</v>
      </c>
      <c r="S48" s="24">
        <v>0.65154374999999998</v>
      </c>
      <c r="T48" s="25">
        <f>Banco_Invoice[[#This Row],[NET WEIGHT (Kg)]]*Banco_Invoice[[#This Row],[QUANTITY / M]]</f>
        <v>136.82418749999999</v>
      </c>
      <c r="U48" s="18">
        <v>2.39</v>
      </c>
      <c r="V48" s="26">
        <f>IF(AND($U$20&gt;0,$U$21&gt;0),Banco_Invoice[[#This Row],[ORIGINAL PRICE UNIT. (USD)]]*(($U$20-$U$21)/$U$20),Banco_Invoice[[#This Row],[ORIGINAL PRICE UNIT. (USD)]])</f>
        <v>2.39</v>
      </c>
      <c r="W48" s="27">
        <f>Banco_Invoice[[#This Row],[PRICE UNIT. (USD)]]*Banco_Invoice[[#This Row],[QUANTITY / M]]</f>
        <v>501.90000000000003</v>
      </c>
      <c r="X48" s="13">
        <v>73064000</v>
      </c>
      <c r="Y48" s="13"/>
      <c r="Z48" s="28"/>
    </row>
    <row r="49" spans="1:32" x14ac:dyDescent="0.3">
      <c r="A49" s="21">
        <v>26</v>
      </c>
      <c r="B49" s="22" t="s">
        <v>48</v>
      </c>
      <c r="C49" s="21"/>
      <c r="D4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9" s="15" t="s">
        <v>62</v>
      </c>
      <c r="F4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9" s="13">
        <v>304</v>
      </c>
      <c r="H4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9" s="13" t="s">
        <v>64</v>
      </c>
      <c r="N4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9" s="13" t="s">
        <v>78</v>
      </c>
      <c r="R49" s="23">
        <v>1500</v>
      </c>
      <c r="S49" s="24">
        <v>0.8872874999999999</v>
      </c>
      <c r="T49" s="25">
        <f>Banco_Invoice[[#This Row],[NET WEIGHT (Kg)]]*Banco_Invoice[[#This Row],[QUANTITY / M]]</f>
        <v>1330.9312499999999</v>
      </c>
      <c r="U49" s="18">
        <v>3.25</v>
      </c>
      <c r="V49" s="26">
        <f>IF(AND($U$20&gt;0,$U$21&gt;0),Banco_Invoice[[#This Row],[ORIGINAL PRICE UNIT. (USD)]]*(($U$20-$U$21)/$U$20),Banco_Invoice[[#This Row],[ORIGINAL PRICE UNIT. (USD)]])</f>
        <v>3.25</v>
      </c>
      <c r="W49" s="27">
        <f>Banco_Invoice[[#This Row],[PRICE UNIT. (USD)]]*Banco_Invoice[[#This Row],[QUANTITY / M]]</f>
        <v>4875</v>
      </c>
      <c r="X49" s="13">
        <v>73064000</v>
      </c>
      <c r="Y49" s="13"/>
      <c r="Z49" s="28"/>
    </row>
    <row r="50" spans="1:32" x14ac:dyDescent="0.3">
      <c r="A50" s="21">
        <v>27</v>
      </c>
      <c r="B50" s="22" t="s">
        <v>49</v>
      </c>
      <c r="C50" s="21"/>
      <c r="D5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0" s="15" t="s">
        <v>62</v>
      </c>
      <c r="F5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0" s="13">
        <v>304</v>
      </c>
      <c r="H5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0" s="13" t="s">
        <v>65</v>
      </c>
      <c r="N5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0" s="13" t="s">
        <v>78</v>
      </c>
      <c r="R50" s="23">
        <v>270</v>
      </c>
      <c r="S50" s="24">
        <v>1.1230312500000001</v>
      </c>
      <c r="T50" s="25">
        <f>Banco_Invoice[[#This Row],[NET WEIGHT (Kg)]]*Banco_Invoice[[#This Row],[QUANTITY / M]]</f>
        <v>303.21843750000005</v>
      </c>
      <c r="U50" s="18">
        <v>4.12</v>
      </c>
      <c r="V50" s="26">
        <f>IF(AND($U$20&gt;0,$U$21&gt;0),Banco_Invoice[[#This Row],[ORIGINAL PRICE UNIT. (USD)]]*(($U$20-$U$21)/$U$20),Banco_Invoice[[#This Row],[ORIGINAL PRICE UNIT. (USD)]])</f>
        <v>4.12</v>
      </c>
      <c r="W50" s="27">
        <f>Banco_Invoice[[#This Row],[PRICE UNIT. (USD)]]*Banco_Invoice[[#This Row],[QUANTITY / M]]</f>
        <v>1112.4000000000001</v>
      </c>
      <c r="X50" s="13">
        <v>73064000</v>
      </c>
      <c r="Y50" s="13"/>
      <c r="Z50" s="28"/>
    </row>
    <row r="51" spans="1:32" x14ac:dyDescent="0.3">
      <c r="A51" s="21">
        <v>28</v>
      </c>
      <c r="B51" s="22" t="s">
        <v>50</v>
      </c>
      <c r="C51" s="21"/>
      <c r="D5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1" s="15" t="s">
        <v>62</v>
      </c>
      <c r="F5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1" s="13">
        <v>304</v>
      </c>
      <c r="H5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1" s="13" t="s">
        <v>66</v>
      </c>
      <c r="N5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1" s="13" t="s">
        <v>78</v>
      </c>
      <c r="R51" s="23">
        <v>1860</v>
      </c>
      <c r="S51" s="24">
        <v>1.3587750000000003</v>
      </c>
      <c r="T51" s="25">
        <f>Banco_Invoice[[#This Row],[NET WEIGHT (Kg)]]*Banco_Invoice[[#This Row],[QUANTITY / M]]</f>
        <v>2527.3215000000005</v>
      </c>
      <c r="U51" s="18">
        <v>4.9800000000000004</v>
      </c>
      <c r="V51" s="26">
        <f>IF(AND($U$20&gt;0,$U$21&gt;0),Banco_Invoice[[#This Row],[ORIGINAL PRICE UNIT. (USD)]]*(($U$20-$U$21)/$U$20),Banco_Invoice[[#This Row],[ORIGINAL PRICE UNIT. (USD)]])</f>
        <v>4.9800000000000004</v>
      </c>
      <c r="W51" s="27">
        <f>Banco_Invoice[[#This Row],[PRICE UNIT. (USD)]]*Banco_Invoice[[#This Row],[QUANTITY / M]]</f>
        <v>9262.8000000000011</v>
      </c>
      <c r="X51" s="13">
        <v>73064000</v>
      </c>
      <c r="Y51" s="13"/>
      <c r="Z51" s="28"/>
    </row>
    <row r="52" spans="1:32" x14ac:dyDescent="0.3">
      <c r="A52" s="13">
        <v>29</v>
      </c>
      <c r="B52" s="22" t="s">
        <v>51</v>
      </c>
      <c r="C52" s="21"/>
      <c r="D5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2" s="15" t="s">
        <v>62</v>
      </c>
      <c r="F5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2" s="13">
        <v>304</v>
      </c>
      <c r="H5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2" s="13" t="s">
        <v>67</v>
      </c>
      <c r="N5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2" s="13" t="s">
        <v>78</v>
      </c>
      <c r="R52" s="23">
        <v>4800</v>
      </c>
      <c r="S52" s="24">
        <v>1.8302624999999999</v>
      </c>
      <c r="T52" s="25">
        <f>Banco_Invoice[[#This Row],[NET WEIGHT (Kg)]]*Banco_Invoice[[#This Row],[QUANTITY / M]]</f>
        <v>8785.26</v>
      </c>
      <c r="U52" s="18">
        <v>6.71</v>
      </c>
      <c r="V52" s="26">
        <f>IF(AND($U$20&gt;0,$U$21&gt;0),Banco_Invoice[[#This Row],[ORIGINAL PRICE UNIT. (USD)]]*(($U$20-$U$21)/$U$20),Banco_Invoice[[#This Row],[ORIGINAL PRICE UNIT. (USD)]])</f>
        <v>6.71</v>
      </c>
      <c r="W52" s="27">
        <f>Banco_Invoice[[#This Row],[PRICE UNIT. (USD)]]*Banco_Invoice[[#This Row],[QUANTITY / M]]</f>
        <v>32208</v>
      </c>
      <c r="X52" s="13">
        <v>73064000</v>
      </c>
      <c r="Y52" s="13"/>
      <c r="Z52" s="28"/>
    </row>
    <row r="53" spans="1:32" x14ac:dyDescent="0.3">
      <c r="A53" s="21">
        <v>30</v>
      </c>
      <c r="B53" s="22" t="s">
        <v>52</v>
      </c>
      <c r="C53" s="21"/>
      <c r="D5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3" s="15" t="s">
        <v>62</v>
      </c>
      <c r="F5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3" s="13">
        <v>304</v>
      </c>
      <c r="H5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3" s="13" t="s">
        <v>68</v>
      </c>
      <c r="N5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3" s="13" t="s">
        <v>78</v>
      </c>
      <c r="R53" s="23">
        <v>210</v>
      </c>
      <c r="S53" s="24">
        <v>2.3017500000000002</v>
      </c>
      <c r="T53" s="25">
        <f>Banco_Invoice[[#This Row],[NET WEIGHT (Kg)]]*Banco_Invoice[[#This Row],[QUANTITY / M]]</f>
        <v>483.36750000000006</v>
      </c>
      <c r="U53" s="18">
        <v>8.44</v>
      </c>
      <c r="V53" s="26">
        <f>IF(AND($U$20&gt;0,$U$21&gt;0),Banco_Invoice[[#This Row],[ORIGINAL PRICE UNIT. (USD)]]*(($U$20-$U$21)/$U$20),Banco_Invoice[[#This Row],[ORIGINAL PRICE UNIT. (USD)]])</f>
        <v>8.44</v>
      </c>
      <c r="W53" s="27">
        <f>Banco_Invoice[[#This Row],[PRICE UNIT. (USD)]]*Banco_Invoice[[#This Row],[QUANTITY / M]]</f>
        <v>1772.3999999999999</v>
      </c>
      <c r="X53" s="13">
        <v>73064000</v>
      </c>
      <c r="Y53" s="13"/>
      <c r="Z53" s="28"/>
    </row>
    <row r="54" spans="1:32" x14ac:dyDescent="0.3">
      <c r="A54" s="21">
        <v>31</v>
      </c>
      <c r="B54" s="22" t="s">
        <v>53</v>
      </c>
      <c r="C54" s="21"/>
      <c r="D5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4" s="15" t="s">
        <v>62</v>
      </c>
      <c r="F5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4" s="13">
        <v>304</v>
      </c>
      <c r="H5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4" s="13" t="s">
        <v>69</v>
      </c>
      <c r="N5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4" s="13" t="s">
        <v>78</v>
      </c>
      <c r="R54" s="23">
        <v>750</v>
      </c>
      <c r="S54" s="24">
        <v>2.7732375000000005</v>
      </c>
      <c r="T54" s="25">
        <f>Banco_Invoice[[#This Row],[NET WEIGHT (Kg)]]*Banco_Invoice[[#This Row],[QUANTITY / M]]</f>
        <v>2079.9281250000004</v>
      </c>
      <c r="U54" s="18">
        <v>10.17</v>
      </c>
      <c r="V54" s="26">
        <f>IF(AND($U$20&gt;0,$U$21&gt;0),Banco_Invoice[[#This Row],[ORIGINAL PRICE UNIT. (USD)]]*(($U$20-$U$21)/$U$20),Banco_Invoice[[#This Row],[ORIGINAL PRICE UNIT. (USD)]])</f>
        <v>10.17</v>
      </c>
      <c r="W54" s="27">
        <f>Banco_Invoice[[#This Row],[PRICE UNIT. (USD)]]*Banco_Invoice[[#This Row],[QUANTITY / M]]</f>
        <v>7627.5</v>
      </c>
      <c r="X54" s="13">
        <v>73064000</v>
      </c>
      <c r="Y54" s="13"/>
      <c r="Z54" s="28"/>
    </row>
    <row r="55" spans="1:32" x14ac:dyDescent="0.3">
      <c r="A55" s="21">
        <v>32</v>
      </c>
      <c r="B55" s="22" t="s">
        <v>54</v>
      </c>
      <c r="C55" s="21"/>
      <c r="D5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5" s="15" t="s">
        <v>62</v>
      </c>
      <c r="F5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5" s="13">
        <v>304</v>
      </c>
      <c r="H5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5" s="13" t="s">
        <v>70</v>
      </c>
      <c r="N5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5" s="13" t="s">
        <v>78</v>
      </c>
      <c r="R55" s="23">
        <v>780</v>
      </c>
      <c r="S55" s="24">
        <v>3.6729000000000003</v>
      </c>
      <c r="T55" s="25">
        <f>Banco_Invoice[[#This Row],[NET WEIGHT (Kg)]]*Banco_Invoice[[#This Row],[QUANTITY / M]]</f>
        <v>2864.8620000000001</v>
      </c>
      <c r="U55" s="18">
        <v>13.47</v>
      </c>
      <c r="V55" s="26">
        <f>IF(AND($U$20&gt;0,$U$21&gt;0),Banco_Invoice[[#This Row],[ORIGINAL PRICE UNIT. (USD)]]*(($U$20-$U$21)/$U$20),Banco_Invoice[[#This Row],[ORIGINAL PRICE UNIT. (USD)]])</f>
        <v>13.47</v>
      </c>
      <c r="W55" s="27">
        <f>Banco_Invoice[[#This Row],[PRICE UNIT. (USD)]]*Banco_Invoice[[#This Row],[QUANTITY / M]]</f>
        <v>10506.6</v>
      </c>
      <c r="X55" s="13">
        <v>73064000</v>
      </c>
      <c r="Y55" s="13"/>
      <c r="Z55" s="28"/>
    </row>
    <row r="56" spans="1:32" x14ac:dyDescent="0.3">
      <c r="A56" s="13">
        <v>33</v>
      </c>
      <c r="B56" s="22" t="s">
        <v>55</v>
      </c>
      <c r="C56" s="21"/>
      <c r="D5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6" s="15" t="s">
        <v>62</v>
      </c>
      <c r="F5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6" s="13">
        <v>304</v>
      </c>
      <c r="H5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6" s="13" t="s">
        <v>71</v>
      </c>
      <c r="N5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6" s="13" t="s">
        <v>78</v>
      </c>
      <c r="R56" s="23">
        <v>450</v>
      </c>
      <c r="S56" s="24">
        <v>3.7162124999999997</v>
      </c>
      <c r="T56" s="25">
        <f>Banco_Invoice[[#This Row],[NET WEIGHT (Kg)]]*Banco_Invoice[[#This Row],[QUANTITY / M]]</f>
        <v>1672.295625</v>
      </c>
      <c r="U56" s="18">
        <v>13.63</v>
      </c>
      <c r="V56" s="26">
        <f>IF(AND($U$20&gt;0,$U$21&gt;0),Banco_Invoice[[#This Row],[ORIGINAL PRICE UNIT. (USD)]]*(($U$20-$U$21)/$U$20),Banco_Invoice[[#This Row],[ORIGINAL PRICE UNIT. (USD)]])</f>
        <v>13.63</v>
      </c>
      <c r="W56" s="27">
        <f>Banco_Invoice[[#This Row],[PRICE UNIT. (USD)]]*Banco_Invoice[[#This Row],[QUANTITY / M]]</f>
        <v>6133.5</v>
      </c>
      <c r="X56" s="13">
        <v>73064000</v>
      </c>
      <c r="Y56" s="13"/>
      <c r="Z56" s="28"/>
    </row>
    <row r="57" spans="1:32" x14ac:dyDescent="0.3">
      <c r="A57" s="21">
        <v>34</v>
      </c>
      <c r="B57" s="22" t="s">
        <v>56</v>
      </c>
      <c r="C57" s="21"/>
      <c r="D5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7" s="15" t="s">
        <v>62</v>
      </c>
      <c r="F5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7" s="13">
        <v>304</v>
      </c>
      <c r="H5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7" s="13" t="s">
        <v>72</v>
      </c>
      <c r="N5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7" s="13" t="s">
        <v>78</v>
      </c>
      <c r="R57" s="23">
        <v>510</v>
      </c>
      <c r="S57" s="24">
        <v>4.9302000000000001</v>
      </c>
      <c r="T57" s="25">
        <f>Banco_Invoice[[#This Row],[NET WEIGHT (Kg)]]*Banco_Invoice[[#This Row],[QUANTITY / M]]</f>
        <v>2514.402</v>
      </c>
      <c r="U57" s="18">
        <v>18.079999999999998</v>
      </c>
      <c r="V57" s="26">
        <f>IF(AND($U$20&gt;0,$U$21&gt;0),Banco_Invoice[[#This Row],[ORIGINAL PRICE UNIT. (USD)]]*(($U$20-$U$21)/$U$20),Banco_Invoice[[#This Row],[ORIGINAL PRICE UNIT. (USD)]])</f>
        <v>18.079999999999998</v>
      </c>
      <c r="W57" s="27">
        <f>Banco_Invoice[[#This Row],[PRICE UNIT. (USD)]]*Banco_Invoice[[#This Row],[QUANTITY / M]]</f>
        <v>9220.7999999999993</v>
      </c>
      <c r="X57" s="13">
        <v>73064000</v>
      </c>
      <c r="Y57" s="13"/>
      <c r="Z57" s="28"/>
    </row>
    <row r="58" spans="1:32" x14ac:dyDescent="0.3">
      <c r="A58" s="21">
        <v>35</v>
      </c>
      <c r="B58" s="22" t="s">
        <v>57</v>
      </c>
      <c r="C58" s="21"/>
      <c r="D5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8" s="15" t="s">
        <v>62</v>
      </c>
      <c r="F5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8" s="13">
        <v>304</v>
      </c>
      <c r="H5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8" s="13" t="s">
        <v>73</v>
      </c>
      <c r="N5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8" s="13" t="s">
        <v>78</v>
      </c>
      <c r="R58" s="23">
        <v>90</v>
      </c>
      <c r="S58" s="24">
        <v>6.1875</v>
      </c>
      <c r="T58" s="25">
        <f>Banco_Invoice[[#This Row],[NET WEIGHT (Kg)]]*Banco_Invoice[[#This Row],[QUANTITY / M]]</f>
        <v>556.875</v>
      </c>
      <c r="U58" s="18">
        <v>24.52</v>
      </c>
      <c r="V58" s="26">
        <f>IF(AND($U$20&gt;0,$U$21&gt;0),Banco_Invoice[[#This Row],[ORIGINAL PRICE UNIT. (USD)]]*(($U$20-$U$21)/$U$20),Banco_Invoice[[#This Row],[ORIGINAL PRICE UNIT. (USD)]])</f>
        <v>24.52</v>
      </c>
      <c r="W58" s="27">
        <f>Banco_Invoice[[#This Row],[PRICE UNIT. (USD)]]*Banco_Invoice[[#This Row],[QUANTITY / M]]</f>
        <v>2206.8000000000002</v>
      </c>
      <c r="X58" s="13">
        <v>73064000</v>
      </c>
      <c r="Y58" s="13"/>
      <c r="Z58" s="28"/>
    </row>
    <row r="59" spans="1:32" x14ac:dyDescent="0.3">
      <c r="A59" s="21">
        <v>36</v>
      </c>
      <c r="B59" s="22" t="s">
        <v>58</v>
      </c>
      <c r="C59" s="21"/>
      <c r="D5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9" s="15" t="s">
        <v>62</v>
      </c>
      <c r="F5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9" s="13">
        <v>304</v>
      </c>
      <c r="H5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9" s="13" t="s">
        <v>74</v>
      </c>
      <c r="N5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9" s="13" t="s">
        <v>78</v>
      </c>
      <c r="R59" s="23">
        <v>210</v>
      </c>
      <c r="S59" s="24">
        <v>7.4448000000000008</v>
      </c>
      <c r="T59" s="25">
        <f>Banco_Invoice[[#This Row],[NET WEIGHT (Kg)]]*Banco_Invoice[[#This Row],[QUANTITY / M]]</f>
        <v>1563.4080000000001</v>
      </c>
      <c r="U59" s="18">
        <v>29.5</v>
      </c>
      <c r="V59" s="26">
        <f>IF(AND($U$20&gt;0,$U$21&gt;0),Banco_Invoice[[#This Row],[ORIGINAL PRICE UNIT. (USD)]]*(($U$20-$U$21)/$U$20),Banco_Invoice[[#This Row],[ORIGINAL PRICE UNIT. (USD)]])</f>
        <v>29.5</v>
      </c>
      <c r="W59" s="27">
        <f>Banco_Invoice[[#This Row],[PRICE UNIT. (USD)]]*Banco_Invoice[[#This Row],[QUANTITY / M]]</f>
        <v>6195</v>
      </c>
      <c r="X59" s="13">
        <v>73064000</v>
      </c>
      <c r="Y59" s="13"/>
      <c r="Z59" s="28"/>
    </row>
    <row r="60" spans="1:32" x14ac:dyDescent="0.3">
      <c r="A60" s="13">
        <v>37</v>
      </c>
      <c r="B60" s="22" t="s">
        <v>59</v>
      </c>
      <c r="C60" s="21"/>
      <c r="D6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0" s="15" t="s">
        <v>62</v>
      </c>
      <c r="F6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0" s="13">
        <v>304</v>
      </c>
      <c r="H6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0" s="13" t="s">
        <v>75</v>
      </c>
      <c r="N6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0" s="13" t="s">
        <v>78</v>
      </c>
      <c r="R60" s="23">
        <v>120</v>
      </c>
      <c r="S60" s="24">
        <v>1.583</v>
      </c>
      <c r="T60" s="25">
        <f>Banco_Invoice[[#This Row],[NET WEIGHT (Kg)]]*Banco_Invoice[[#This Row],[QUANTITY / M]]</f>
        <v>189.96</v>
      </c>
      <c r="U60" s="18">
        <v>4.21</v>
      </c>
      <c r="V60" s="26">
        <f>IF(AND($U$20&gt;0,$U$21&gt;0),Banco_Invoice[[#This Row],[ORIGINAL PRICE UNIT. (USD)]]*(($U$20-$U$21)/$U$20),Banco_Invoice[[#This Row],[ORIGINAL PRICE UNIT. (USD)]])</f>
        <v>4.21</v>
      </c>
      <c r="W60" s="27">
        <f>Banco_Invoice[[#This Row],[PRICE UNIT. (USD)]]*Banco_Invoice[[#This Row],[QUANTITY / M]]</f>
        <v>505.2</v>
      </c>
      <c r="X60" s="13">
        <v>73064000</v>
      </c>
      <c r="Y60" s="13"/>
      <c r="Z60" s="28"/>
    </row>
    <row r="61" spans="1:32" x14ac:dyDescent="0.3">
      <c r="A61" s="21">
        <v>38</v>
      </c>
      <c r="B61" s="22" t="s">
        <v>60</v>
      </c>
      <c r="C61" s="21"/>
      <c r="D6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1" s="15" t="s">
        <v>62</v>
      </c>
      <c r="F6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1" s="13">
        <v>304</v>
      </c>
      <c r="H6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1" s="13" t="s">
        <v>76</v>
      </c>
      <c r="N6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1" s="13" t="s">
        <v>78</v>
      </c>
      <c r="R61" s="23">
        <v>180</v>
      </c>
      <c r="S61" s="24">
        <v>1.7869999999999999</v>
      </c>
      <c r="T61" s="25">
        <f>Banco_Invoice[[#This Row],[NET WEIGHT (Kg)]]*Banco_Invoice[[#This Row],[QUANTITY / M]]</f>
        <v>321.65999999999997</v>
      </c>
      <c r="U61" s="18">
        <v>6.49</v>
      </c>
      <c r="V61" s="26">
        <f>IF(AND($U$20&gt;0,$U$21&gt;0),Banco_Invoice[[#This Row],[ORIGINAL PRICE UNIT. (USD)]]*(($U$20-$U$21)/$U$20),Banco_Invoice[[#This Row],[ORIGINAL PRICE UNIT. (USD)]])</f>
        <v>6.49</v>
      </c>
      <c r="W61" s="27">
        <f>Banco_Invoice[[#This Row],[PRICE UNIT. (USD)]]*Banco_Invoice[[#This Row],[QUANTITY / M]]</f>
        <v>1168.2</v>
      </c>
      <c r="X61" s="13">
        <v>73064000</v>
      </c>
      <c r="Y61" s="13"/>
      <c r="Z61" s="28"/>
      <c r="AF61" s="2" t="s">
        <v>151</v>
      </c>
    </row>
    <row r="62" spans="1:32" x14ac:dyDescent="0.3">
      <c r="A62" s="21">
        <v>39</v>
      </c>
      <c r="B62" s="22" t="s">
        <v>61</v>
      </c>
      <c r="C62" s="21"/>
      <c r="D6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2" s="15" t="s">
        <v>62</v>
      </c>
      <c r="F6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2" s="13">
        <v>304</v>
      </c>
      <c r="H6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2" s="13" t="s">
        <v>77</v>
      </c>
      <c r="N6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2" s="13" t="s">
        <v>78</v>
      </c>
      <c r="R62" s="23">
        <v>180</v>
      </c>
      <c r="S62" s="24">
        <v>2.4156</v>
      </c>
      <c r="T62" s="25">
        <f>Banco_Invoice[[#This Row],[NET WEIGHT (Kg)]]*Banco_Invoice[[#This Row],[QUANTITY / M]]</f>
        <v>434.80799999999999</v>
      </c>
      <c r="U62" s="18">
        <v>8.76</v>
      </c>
      <c r="V62" s="26">
        <f>IF(AND($U$20&gt;0,$U$21&gt;0),Banco_Invoice[[#This Row],[ORIGINAL PRICE UNIT. (USD)]]*(($U$20-$U$21)/$U$20),Banco_Invoice[[#This Row],[ORIGINAL PRICE UNIT. (USD)]])</f>
        <v>8.76</v>
      </c>
      <c r="W62" s="27">
        <f>Banco_Invoice[[#This Row],[PRICE UNIT. (USD)]]*Banco_Invoice[[#This Row],[QUANTITY / M]]</f>
        <v>1576.8</v>
      </c>
      <c r="X62" s="13">
        <v>73064000</v>
      </c>
      <c r="Y62" s="13"/>
      <c r="Z62" s="28"/>
    </row>
    <row r="63" spans="1:32" ht="11.4" thickBot="1" x14ac:dyDescent="0.35">
      <c r="A63" s="13">
        <v>40</v>
      </c>
      <c r="B63" s="22" t="s">
        <v>122</v>
      </c>
      <c r="C63" s="21"/>
      <c r="D6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3" s="15" t="s">
        <v>62</v>
      </c>
      <c r="F6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3" s="13">
        <v>304</v>
      </c>
      <c r="H6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3" s="13" t="s">
        <v>150</v>
      </c>
      <c r="N6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3" s="13" t="s">
        <v>78</v>
      </c>
      <c r="R63" s="23">
        <v>210</v>
      </c>
      <c r="S63" s="24">
        <v>4.7161999999999997</v>
      </c>
      <c r="T63" s="25">
        <f>Banco_Invoice[[#This Row],[NET WEIGHT (Kg)]]*Banco_Invoice[[#This Row],[QUANTITY / M]]</f>
        <v>990.40199999999993</v>
      </c>
      <c r="U63" s="18">
        <v>1.55</v>
      </c>
      <c r="V63" s="26">
        <f>IF(AND($U$20&gt;0,$U$21&gt;0),Banco_Invoice[[#This Row],[ORIGINAL PRICE UNIT. (USD)]]*(($U$20-$U$21)/$U$20),Banco_Invoice[[#This Row],[ORIGINAL PRICE UNIT. (USD)]])</f>
        <v>1.55</v>
      </c>
      <c r="W63" s="27">
        <f>Banco_Invoice[[#This Row],[PRICE UNIT. (USD)]]*Banco_Invoice[[#This Row],[QUANTITY / M]]</f>
        <v>325.5</v>
      </c>
      <c r="X63" s="13">
        <v>73064000</v>
      </c>
      <c r="Y63" s="13"/>
      <c r="Z63" s="28"/>
    </row>
    <row r="64" spans="1:32" ht="16.2" thickBot="1" x14ac:dyDescent="0.35">
      <c r="A64" s="29"/>
      <c r="B64" s="30" t="s">
        <v>29</v>
      </c>
      <c r="C64" s="31"/>
      <c r="D64" s="32"/>
      <c r="E64" s="32"/>
      <c r="F64" s="32"/>
      <c r="G64" s="31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3">
        <f>SUBTOTAL(109,Banco_Invoice[QUANTITY / M])</f>
        <v>90980</v>
      </c>
      <c r="S64" s="134"/>
      <c r="T64" s="135">
        <f>SUBTOTAL(109,Banco_Invoice[TOTAL NET WEIGHT (Kg)])</f>
        <v>133502.48875124997</v>
      </c>
      <c r="U64" s="136"/>
      <c r="V64" s="137"/>
      <c r="W64" s="138">
        <f>SUBTOTAL(109,Banco_Invoice[TOTAL PRICE (USD)])</f>
        <v>364827.22</v>
      </c>
      <c r="X64" s="132"/>
      <c r="Y64" s="132"/>
      <c r="Z64" s="139"/>
    </row>
    <row r="65" spans="1:27" x14ac:dyDescent="0.3">
      <c r="A65" s="96"/>
      <c r="B65" s="97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1"/>
    </row>
    <row r="66" spans="1:27" ht="10.95" customHeight="1" x14ac:dyDescent="0.3">
      <c r="A66" s="126" t="s">
        <v>30</v>
      </c>
      <c r="B66" s="127"/>
      <c r="C66" s="70" t="str">
        <f>Banco_Invoice[[#Totals],[QUANTITY / M]]&amp;" METERS"</f>
        <v>90980 METERS</v>
      </c>
      <c r="D66" s="70"/>
      <c r="E66" s="70"/>
      <c r="F66" s="70"/>
      <c r="G66" s="70"/>
      <c r="H66" s="128" t="s">
        <v>31</v>
      </c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9"/>
    </row>
    <row r="67" spans="1:27" ht="10.95" customHeight="1" thickBot="1" x14ac:dyDescent="0.35">
      <c r="A67" s="126"/>
      <c r="B67" s="127"/>
      <c r="C67" s="70"/>
      <c r="D67" s="70"/>
      <c r="E67" s="70"/>
      <c r="F67" s="70"/>
      <c r="G67" s="70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3"/>
    </row>
    <row r="68" spans="1:27" ht="10.95" customHeight="1" x14ac:dyDescent="0.3">
      <c r="A68" s="126" t="s">
        <v>32</v>
      </c>
      <c r="B68" s="127"/>
      <c r="C68" s="48" t="s">
        <v>152</v>
      </c>
      <c r="D68" s="48"/>
      <c r="E68" s="48"/>
      <c r="F68" s="48"/>
      <c r="G68" s="49"/>
      <c r="H68" s="5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44"/>
    </row>
    <row r="69" spans="1:27" ht="10.95" customHeight="1" x14ac:dyDescent="0.3">
      <c r="A69" s="126"/>
      <c r="B69" s="127"/>
      <c r="C69" s="48"/>
      <c r="D69" s="48"/>
      <c r="E69" s="48"/>
      <c r="F69" s="48"/>
      <c r="G69" s="49"/>
      <c r="H69" s="50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30"/>
      <c r="AA69" s="144"/>
    </row>
    <row r="70" spans="1:27" ht="10.95" customHeight="1" x14ac:dyDescent="0.3">
      <c r="A70" s="126" t="s">
        <v>33</v>
      </c>
      <c r="B70" s="127"/>
      <c r="C70" s="48"/>
      <c r="D70" s="48"/>
      <c r="E70" s="48"/>
      <c r="F70" s="48"/>
      <c r="G70" s="49"/>
      <c r="H70" s="50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30"/>
      <c r="AA70" s="144"/>
    </row>
    <row r="71" spans="1:27" ht="10.95" customHeight="1" x14ac:dyDescent="0.3">
      <c r="A71" s="126"/>
      <c r="B71" s="127"/>
      <c r="C71" s="48"/>
      <c r="D71" s="48"/>
      <c r="E71" s="48"/>
      <c r="F71" s="48"/>
      <c r="G71" s="49"/>
      <c r="H71" s="50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30"/>
      <c r="AA71" s="144"/>
    </row>
    <row r="72" spans="1:27" ht="10.95" customHeight="1" x14ac:dyDescent="0.3">
      <c r="A72" s="126" t="s">
        <v>34</v>
      </c>
      <c r="B72" s="127"/>
      <c r="C72" s="48"/>
      <c r="D72" s="48"/>
      <c r="E72" s="48"/>
      <c r="F72" s="48"/>
      <c r="G72" s="49"/>
      <c r="H72" s="50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30"/>
      <c r="AA72" s="144"/>
    </row>
    <row r="73" spans="1:27" ht="10.95" customHeight="1" x14ac:dyDescent="0.3">
      <c r="A73" s="126"/>
      <c r="B73" s="127"/>
      <c r="C73" s="48"/>
      <c r="D73" s="48"/>
      <c r="E73" s="48"/>
      <c r="F73" s="48"/>
      <c r="G73" s="49"/>
      <c r="H73" s="50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30"/>
      <c r="AA73" s="144"/>
    </row>
    <row r="74" spans="1:27" ht="10.95" customHeight="1" x14ac:dyDescent="0.3">
      <c r="A74" s="126" t="s">
        <v>35</v>
      </c>
      <c r="B74" s="127"/>
      <c r="C74" s="48"/>
      <c r="D74" s="48"/>
      <c r="E74" s="48"/>
      <c r="F74" s="48"/>
      <c r="G74" s="49"/>
      <c r="H74" s="50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30"/>
      <c r="AA74" s="144"/>
    </row>
    <row r="75" spans="1:27" ht="10.95" customHeight="1" x14ac:dyDescent="0.3">
      <c r="A75" s="126"/>
      <c r="B75" s="127"/>
      <c r="C75" s="48"/>
      <c r="D75" s="48"/>
      <c r="E75" s="48"/>
      <c r="F75" s="48"/>
      <c r="G75" s="49"/>
      <c r="H75" s="52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144"/>
    </row>
    <row r="76" spans="1:27" ht="11.4" thickBot="1" x14ac:dyDescent="0.35">
      <c r="A76" s="110"/>
      <c r="B76" s="111"/>
      <c r="Z76" s="131"/>
    </row>
    <row r="77" spans="1:27" x14ac:dyDescent="0.3">
      <c r="A77" s="90" t="s">
        <v>36</v>
      </c>
      <c r="B77" s="91"/>
      <c r="C77" s="91"/>
      <c r="D77" s="91"/>
      <c r="E77" s="91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8"/>
    </row>
    <row r="78" spans="1:27" ht="11.25" customHeight="1" thickBot="1" x14ac:dyDescent="0.35">
      <c r="A78" s="93"/>
      <c r="B78" s="94"/>
      <c r="C78" s="94"/>
      <c r="D78" s="94"/>
      <c r="E78" s="94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2"/>
    </row>
    <row r="79" spans="1:27" ht="11.25" customHeight="1" x14ac:dyDescent="0.3">
      <c r="A79" s="96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8"/>
    </row>
    <row r="80" spans="1:27" ht="11.25" customHeight="1" x14ac:dyDescent="0.3">
      <c r="A80" s="99" t="s">
        <v>37</v>
      </c>
      <c r="B80" s="100"/>
      <c r="C80" s="101" t="s">
        <v>38</v>
      </c>
      <c r="D80" s="101"/>
      <c r="E80" s="101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102"/>
    </row>
    <row r="81" spans="1:29" ht="11.25" customHeight="1" x14ac:dyDescent="0.3">
      <c r="A81" s="99"/>
      <c r="B81" s="100"/>
      <c r="C81" s="101"/>
      <c r="D81" s="101"/>
      <c r="E81" s="101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102"/>
    </row>
    <row r="82" spans="1:29" ht="11.25" customHeight="1" x14ac:dyDescent="0.3">
      <c r="A82" s="103" t="s">
        <v>39</v>
      </c>
      <c r="B82" s="104"/>
      <c r="C82" s="105" t="s">
        <v>89</v>
      </c>
      <c r="D82" s="105"/>
      <c r="E82" s="105"/>
      <c r="F82" s="75"/>
      <c r="G82" s="104" t="s">
        <v>40</v>
      </c>
      <c r="H82" s="105"/>
      <c r="I82" s="75"/>
      <c r="J82" s="75"/>
      <c r="K82" s="75"/>
      <c r="L82" s="75"/>
      <c r="M82" s="75"/>
      <c r="N82" s="75"/>
      <c r="O82" s="105"/>
      <c r="P82" s="105"/>
      <c r="Q82" s="105"/>
      <c r="R82" s="105"/>
      <c r="S82" s="104" t="s">
        <v>41</v>
      </c>
      <c r="T82" s="104"/>
      <c r="U82" s="75"/>
      <c r="V82" s="75"/>
      <c r="W82" s="75"/>
      <c r="X82" s="75"/>
      <c r="Y82" s="75"/>
      <c r="Z82" s="102"/>
    </row>
    <row r="83" spans="1:29" ht="11.25" customHeight="1" x14ac:dyDescent="0.3">
      <c r="A83" s="103"/>
      <c r="B83" s="104"/>
      <c r="C83" s="105"/>
      <c r="D83" s="105"/>
      <c r="E83" s="105"/>
      <c r="F83" s="75"/>
      <c r="G83" s="104"/>
      <c r="H83" s="105"/>
      <c r="I83" s="75"/>
      <c r="J83" s="75"/>
      <c r="K83" s="75"/>
      <c r="L83" s="75"/>
      <c r="M83" s="106" t="s">
        <v>90</v>
      </c>
      <c r="N83" s="75"/>
      <c r="O83" s="105"/>
      <c r="P83" s="105"/>
      <c r="Q83" s="105"/>
      <c r="R83" s="105"/>
      <c r="S83" s="104"/>
      <c r="T83" s="104"/>
      <c r="U83" s="106" t="s">
        <v>90</v>
      </c>
      <c r="V83" s="75"/>
      <c r="W83" s="75"/>
      <c r="X83" s="75"/>
      <c r="Y83" s="75"/>
      <c r="Z83" s="102"/>
    </row>
    <row r="84" spans="1:29" ht="13.8" x14ac:dyDescent="0.3">
      <c r="A84" s="107" t="s">
        <v>42</v>
      </c>
      <c r="B84" s="108"/>
      <c r="C84" s="109" t="s">
        <v>92</v>
      </c>
      <c r="D84" s="109"/>
      <c r="E84" s="109"/>
      <c r="F84" s="75"/>
      <c r="G84" s="108" t="s">
        <v>43</v>
      </c>
      <c r="H84" s="109"/>
      <c r="I84" s="75"/>
      <c r="J84" s="75"/>
      <c r="K84" s="75"/>
      <c r="L84" s="75"/>
      <c r="M84" s="106" t="s">
        <v>91</v>
      </c>
      <c r="N84" s="75"/>
      <c r="O84" s="109"/>
      <c r="P84" s="109"/>
      <c r="Q84" s="109"/>
      <c r="R84" s="109"/>
      <c r="S84" s="108" t="s">
        <v>44</v>
      </c>
      <c r="T84" s="108"/>
      <c r="U84" s="106" t="s">
        <v>90</v>
      </c>
      <c r="V84" s="75"/>
      <c r="W84" s="75"/>
      <c r="X84" s="75"/>
      <c r="Y84" s="75"/>
      <c r="Z84" s="102"/>
    </row>
    <row r="85" spans="1:29" x14ac:dyDescent="0.3">
      <c r="A85" s="107"/>
      <c r="B85" s="108"/>
      <c r="C85" s="109"/>
      <c r="D85" s="109"/>
      <c r="E85" s="109"/>
      <c r="F85" s="75"/>
      <c r="G85" s="108"/>
      <c r="H85" s="109"/>
      <c r="I85" s="75"/>
      <c r="J85" s="75"/>
      <c r="K85" s="75"/>
      <c r="L85" s="75"/>
      <c r="M85" s="75"/>
      <c r="N85" s="75"/>
      <c r="O85" s="109"/>
      <c r="P85" s="109"/>
      <c r="Q85" s="109"/>
      <c r="R85" s="109"/>
      <c r="S85" s="108"/>
      <c r="T85" s="108"/>
      <c r="U85" s="75"/>
      <c r="V85" s="75"/>
      <c r="W85" s="75"/>
      <c r="X85" s="75"/>
      <c r="Y85" s="75"/>
      <c r="Z85" s="102"/>
    </row>
    <row r="86" spans="1:29" ht="11.4" thickBot="1" x14ac:dyDescent="0.35">
      <c r="A86" s="110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2"/>
    </row>
    <row r="87" spans="1:29" ht="10.95" customHeight="1" x14ac:dyDescent="0.3">
      <c r="A87" s="90" t="s">
        <v>45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2"/>
    </row>
    <row r="88" spans="1:29" ht="10.95" customHeight="1" thickBot="1" x14ac:dyDescent="0.35">
      <c r="A88" s="93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5"/>
    </row>
    <row r="89" spans="1:29" ht="16.5" customHeight="1" x14ac:dyDescent="0.3">
      <c r="A89" s="113" t="s">
        <v>88</v>
      </c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97"/>
      <c r="O89" s="97"/>
      <c r="P89" s="97"/>
      <c r="Q89" s="124"/>
      <c r="R89" s="115" t="s">
        <v>97</v>
      </c>
      <c r="S89" s="115"/>
      <c r="T89" s="115"/>
      <c r="U89" s="115"/>
      <c r="V89" s="115"/>
      <c r="W89" s="115"/>
      <c r="X89" s="115"/>
      <c r="Y89" s="115"/>
      <c r="Z89" s="116"/>
      <c r="AA89" s="72"/>
      <c r="AB89" s="72"/>
      <c r="AC89" s="72"/>
    </row>
    <row r="90" spans="1:29" ht="15.6" x14ac:dyDescent="0.3">
      <c r="A90" s="117" t="s">
        <v>94</v>
      </c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6"/>
      <c r="R90" s="73"/>
      <c r="S90" s="73"/>
      <c r="T90" s="73"/>
      <c r="U90" s="73"/>
      <c r="V90" s="73"/>
      <c r="W90" s="73"/>
      <c r="X90" s="73"/>
      <c r="Y90" s="73"/>
      <c r="Z90" s="118"/>
      <c r="AA90" s="72"/>
      <c r="AB90" s="72"/>
      <c r="AC90" s="72"/>
    </row>
    <row r="91" spans="1:29" ht="15.6" x14ac:dyDescent="0.3">
      <c r="A91" s="119" t="s">
        <v>93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5"/>
      <c r="O91" s="75"/>
      <c r="P91" s="75"/>
      <c r="Q91" s="76"/>
      <c r="R91" s="73"/>
      <c r="S91" s="73"/>
      <c r="T91" s="73"/>
      <c r="U91" s="73"/>
      <c r="V91" s="73"/>
      <c r="W91" s="73"/>
      <c r="X91" s="73"/>
      <c r="Y91" s="73"/>
      <c r="Z91" s="118"/>
      <c r="AA91" s="72"/>
      <c r="AB91" s="72"/>
      <c r="AC91" s="72"/>
    </row>
    <row r="92" spans="1:29" ht="15.6" x14ac:dyDescent="0.3">
      <c r="A92" s="74" t="s">
        <v>155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5"/>
      <c r="O92" s="75"/>
      <c r="P92" s="75"/>
      <c r="Q92" s="76"/>
      <c r="R92" s="73"/>
      <c r="S92" s="73"/>
      <c r="T92" s="73"/>
      <c r="U92" s="73"/>
      <c r="V92" s="73"/>
      <c r="W92" s="73"/>
      <c r="X92" s="73"/>
      <c r="Y92" s="73"/>
      <c r="Z92" s="118"/>
      <c r="AA92" s="72"/>
      <c r="AB92" s="72"/>
      <c r="AC92" s="72"/>
    </row>
    <row r="93" spans="1:29" ht="15.6" x14ac:dyDescent="0.3">
      <c r="A93" s="71" t="s">
        <v>154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79"/>
      <c r="O93" s="81"/>
      <c r="P93" s="81"/>
      <c r="Q93" s="82"/>
      <c r="R93" s="73"/>
      <c r="S93" s="73"/>
      <c r="T93" s="73"/>
      <c r="U93" s="73"/>
      <c r="V93" s="73"/>
      <c r="W93" s="73"/>
      <c r="X93" s="73"/>
      <c r="Y93" s="73"/>
      <c r="Z93" s="118"/>
      <c r="AA93" s="72"/>
      <c r="AB93" s="72"/>
      <c r="AC93" s="72"/>
    </row>
    <row r="94" spans="1:29" ht="15" customHeight="1" thickBot="1" x14ac:dyDescent="0.35">
      <c r="A94" s="110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20"/>
      <c r="O94" s="121"/>
      <c r="P94" s="121"/>
      <c r="Q94" s="120"/>
      <c r="R94" s="125"/>
      <c r="S94" s="122"/>
      <c r="T94" s="122"/>
      <c r="U94" s="122"/>
      <c r="V94" s="122"/>
      <c r="W94" s="122"/>
      <c r="X94" s="122"/>
      <c r="Y94" s="122"/>
      <c r="Z94" s="123"/>
    </row>
    <row r="95" spans="1:29" ht="30" customHeight="1" thickBot="1" x14ac:dyDescent="0.35">
      <c r="A95" s="89" t="s">
        <v>96</v>
      </c>
      <c r="B95" s="83"/>
      <c r="C95" s="84"/>
      <c r="D95" s="84"/>
      <c r="E95" s="85"/>
      <c r="F95" s="86"/>
      <c r="G95" s="85"/>
      <c r="H95" s="87"/>
      <c r="I95" s="85"/>
      <c r="J95" s="85"/>
      <c r="K95" s="85"/>
      <c r="L95" s="85"/>
      <c r="M95" s="85"/>
      <c r="N95" s="85"/>
      <c r="O95" s="87"/>
      <c r="P95" s="87"/>
      <c r="Q95" s="85"/>
      <c r="R95" s="85"/>
      <c r="S95" s="86"/>
      <c r="T95" s="86"/>
      <c r="U95" s="86"/>
      <c r="V95" s="86"/>
      <c r="W95" s="86"/>
      <c r="X95" s="86"/>
      <c r="Y95" s="86"/>
      <c r="Z95" s="88"/>
    </row>
    <row r="96" spans="1:29" ht="85.5" customHeight="1" thickBot="1" x14ac:dyDescent="0.35">
      <c r="A96" s="58" t="s">
        <v>95</v>
      </c>
      <c r="B96" s="59"/>
      <c r="C96" s="59"/>
      <c r="D96" s="59"/>
      <c r="E96" s="59"/>
      <c r="F96" s="59"/>
      <c r="G96" s="59"/>
      <c r="H96" s="87"/>
      <c r="I96" s="85"/>
      <c r="J96" s="85"/>
      <c r="K96" s="85"/>
      <c r="L96" s="85"/>
      <c r="M96" s="85"/>
      <c r="N96" s="85"/>
      <c r="O96" s="87"/>
      <c r="P96" s="87"/>
      <c r="Q96" s="85"/>
      <c r="R96" s="85"/>
      <c r="S96" s="86"/>
      <c r="T96" s="86"/>
      <c r="U96" s="86"/>
      <c r="V96" s="86"/>
      <c r="W96" s="86"/>
      <c r="X96" s="86"/>
      <c r="Y96" s="86"/>
      <c r="Z96" s="88"/>
    </row>
    <row r="97" spans="1:18" ht="9" customHeight="1" x14ac:dyDescent="0.3">
      <c r="A97" s="33"/>
      <c r="B97" s="34"/>
      <c r="C97" s="34"/>
      <c r="D97" s="34"/>
      <c r="E97" s="45"/>
      <c r="G97" s="45"/>
      <c r="H97" s="46"/>
      <c r="I97" s="45"/>
      <c r="J97" s="45"/>
      <c r="K97" s="45"/>
      <c r="L97" s="45"/>
      <c r="M97" s="45"/>
      <c r="N97" s="45"/>
      <c r="O97" s="46"/>
      <c r="P97" s="46"/>
      <c r="Q97" s="45"/>
      <c r="R97" s="45"/>
    </row>
    <row r="98" spans="1:18" ht="24" customHeight="1" x14ac:dyDescent="0.3">
      <c r="A98" s="33"/>
      <c r="B98" s="34"/>
      <c r="C98" s="34"/>
      <c r="D98" s="34"/>
      <c r="E98" s="45"/>
      <c r="G98" s="45"/>
      <c r="H98" s="46"/>
      <c r="I98" s="45"/>
      <c r="J98" s="45"/>
      <c r="K98" s="45"/>
      <c r="L98" s="45"/>
      <c r="M98" s="45"/>
      <c r="N98" s="45"/>
      <c r="O98" s="46"/>
      <c r="P98" s="46"/>
      <c r="Q98" s="45"/>
      <c r="R98" s="45"/>
    </row>
    <row r="99" spans="1:18" ht="12" x14ac:dyDescent="0.3">
      <c r="A99" s="35"/>
      <c r="B99" s="36"/>
      <c r="C99" s="36"/>
      <c r="D99" s="37"/>
      <c r="E99" s="38"/>
      <c r="F99" s="39"/>
      <c r="G99" s="39"/>
      <c r="H99" s="40"/>
      <c r="I99" s="41"/>
      <c r="J99" s="41"/>
      <c r="K99" s="42"/>
      <c r="L99" s="40"/>
      <c r="M99" s="41"/>
      <c r="N99" s="43"/>
      <c r="O99" s="44"/>
      <c r="P99" s="44"/>
      <c r="Q99" s="43"/>
      <c r="R99" s="43"/>
    </row>
  </sheetData>
  <mergeCells count="48">
    <mergeCell ref="A93:M93"/>
    <mergeCell ref="R89:Z94"/>
    <mergeCell ref="A89:M89"/>
    <mergeCell ref="A96:G96"/>
    <mergeCell ref="A8:P9"/>
    <mergeCell ref="V8:W9"/>
    <mergeCell ref="X8:Z9"/>
    <mergeCell ref="A10:P13"/>
    <mergeCell ref="V10:W11"/>
    <mergeCell ref="X10:Z11"/>
    <mergeCell ref="V12:W13"/>
    <mergeCell ref="X12:Z13"/>
    <mergeCell ref="A15:P16"/>
    <mergeCell ref="A17:P20"/>
    <mergeCell ref="A66:B67"/>
    <mergeCell ref="C66:G67"/>
    <mergeCell ref="H66:Z67"/>
    <mergeCell ref="A68:B69"/>
    <mergeCell ref="A1:Z1"/>
    <mergeCell ref="A2:Z2"/>
    <mergeCell ref="A3:Z3"/>
    <mergeCell ref="A4:Z4"/>
    <mergeCell ref="A6:Z6"/>
    <mergeCell ref="C68:G69"/>
    <mergeCell ref="H68:Z75"/>
    <mergeCell ref="A70:B71"/>
    <mergeCell ref="C70:G71"/>
    <mergeCell ref="A72:B73"/>
    <mergeCell ref="C72:G73"/>
    <mergeCell ref="A74:B75"/>
    <mergeCell ref="C74:G75"/>
    <mergeCell ref="A77:E78"/>
    <mergeCell ref="A80:B81"/>
    <mergeCell ref="C80:E81"/>
    <mergeCell ref="A82:B83"/>
    <mergeCell ref="C82:E83"/>
    <mergeCell ref="A87:M88"/>
    <mergeCell ref="N87:Z88"/>
    <mergeCell ref="H82:H83"/>
    <mergeCell ref="S82:T83"/>
    <mergeCell ref="O82:R83"/>
    <mergeCell ref="A84:B85"/>
    <mergeCell ref="C84:E85"/>
    <mergeCell ref="G84:G85"/>
    <mergeCell ref="H84:H85"/>
    <mergeCell ref="S84:T85"/>
    <mergeCell ref="O84:R85"/>
    <mergeCell ref="G82:G83"/>
  </mergeCells>
  <conditionalFormatting sqref="B24:B63">
    <cfRule type="duplicateValues" dxfId="3" priority="11"/>
  </conditionalFormatting>
  <conditionalFormatting sqref="C24:C63">
    <cfRule type="expression" dxfId="2" priority="2">
      <formula>$C24="Low"</formula>
    </cfRule>
    <cfRule type="expression" dxfId="1" priority="3">
      <formula>$C24="Medium"</formula>
    </cfRule>
    <cfRule type="expression" dxfId="0" priority="4">
      <formula>$C24="High"</formula>
    </cfRule>
  </conditionalFormatting>
  <dataValidations disablePrompts="1" count="1">
    <dataValidation type="list" allowBlank="1" showInputMessage="1" showErrorMessage="1" sqref="Y23" xr:uid="{CCD654C9-BCC3-4305-9898-E547B73ECDEE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Invoice</vt:lpstr>
      <vt:lpstr>Invoice!Area_de_impressao</vt:lpstr>
      <vt:lpstr>Invoice!Titulos_de_impressao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Metalurgico 5 Plasnox</dc:creator>
  <cp:lastModifiedBy>Importação Metal</cp:lastModifiedBy>
  <dcterms:created xsi:type="dcterms:W3CDTF">2026-06-03T18:07:35Z</dcterms:created>
  <dcterms:modified xsi:type="dcterms:W3CDTF">2026-06-08T19:01:44Z</dcterms:modified>
</cp:coreProperties>
</file>
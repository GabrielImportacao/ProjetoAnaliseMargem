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codeName="ThisWorkbook" defaultThemeVersion="124226"/>
  <xr:revisionPtr revIDLastSave="0" documentId="8_{E8A1E2A7-2856-4939-A2FC-70607CF0CC7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tract NO_15" sheetId="1" r:id="rId1"/>
  </sheets>
  <definedNames>
    <definedName name="_xlnm.Print_Titles" localSheetId="0">'Contract NO_15'!$2:$20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6" i="1" l="1"/>
  <c r="J77" i="1" s="1"/>
  <c r="H76" i="1"/>
  <c r="C76" i="1"/>
  <c r="H75" i="1"/>
  <c r="H46" i="1"/>
  <c r="C46" i="1"/>
  <c r="J51" i="1"/>
  <c r="J73" i="1"/>
  <c r="J72" i="1"/>
  <c r="J71" i="1"/>
  <c r="J70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J44" i="1" l="1"/>
  <c r="J43" i="1"/>
  <c r="J42" i="1"/>
  <c r="J41" i="1"/>
  <c r="J40" i="1"/>
  <c r="J39" i="1"/>
  <c r="J38" i="1"/>
  <c r="J37" i="1"/>
  <c r="J36" i="1"/>
  <c r="J25" i="1"/>
  <c r="J24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J69" i="1" l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35" i="1" l="1"/>
  <c r="J34" i="1"/>
  <c r="J33" i="1"/>
  <c r="J32" i="1"/>
  <c r="J53" i="1" l="1"/>
  <c r="J52" i="1"/>
  <c r="J50" i="1"/>
  <c r="J75" i="1" s="1"/>
  <c r="C75" i="1"/>
  <c r="J31" i="1"/>
  <c r="J30" i="1"/>
  <c r="J29" i="1"/>
  <c r="J28" i="1"/>
  <c r="J27" i="1"/>
  <c r="J26" i="1"/>
  <c r="J46" i="1" l="1"/>
</calcChain>
</file>

<file path=xl/sharedStrings.xml><?xml version="1.0" encoding="utf-8"?>
<sst xmlns="http://schemas.openxmlformats.org/spreadsheetml/2006/main" count="204" uniqueCount="90">
  <si>
    <t>Shipper :</t>
  </si>
  <si>
    <t>MLTI PRIVATE LIMITED</t>
  </si>
  <si>
    <t xml:space="preserve">SURVEY NO.85/6/2/B, </t>
  </si>
  <si>
    <t>KHATA NO.1978, MANEKPUR ROAD, KHATTALWADA - 396 120 (Gujarat)</t>
  </si>
  <si>
    <t>SALES CONTRACT</t>
  </si>
  <si>
    <t xml:space="preserve">CONSIGNEE NAME </t>
  </si>
  <si>
    <t>BUYER DETAILS</t>
  </si>
  <si>
    <t>Contact Person : Rahul Bhansali, Contact Number : (91) 9324068493</t>
  </si>
  <si>
    <t>Email Id: rbb@moonlighttubes.com</t>
  </si>
  <si>
    <t>IEC : AANCM2072N DT. 16/03/2022</t>
  </si>
  <si>
    <t xml:space="preserve">Email id: export.sales@moonlighttubes.com </t>
  </si>
  <si>
    <t>PRODUCT CODE</t>
  </si>
  <si>
    <t>QUANTITY</t>
  </si>
  <si>
    <t>DIAMETER</t>
  </si>
  <si>
    <t>LENGTH</t>
  </si>
  <si>
    <t xml:space="preserve">TOTAL APROX </t>
  </si>
  <si>
    <t>TOTAL PRICE</t>
  </si>
  <si>
    <t>METERS</t>
  </si>
  <si>
    <t xml:space="preserve"> </t>
  </si>
  <si>
    <t>MM</t>
  </si>
  <si>
    <t>WEIGHT</t>
  </si>
  <si>
    <t>USD/MTR</t>
  </si>
  <si>
    <t>USD</t>
  </si>
  <si>
    <t>TOTAL:</t>
  </si>
  <si>
    <t>TERMS</t>
  </si>
  <si>
    <t>Qty Tolerance : (+) (-) 10% on Individual sizes and (+) (-) 10% on over all weight</t>
  </si>
  <si>
    <t>LC PAYMENT DETAILS</t>
  </si>
  <si>
    <t>BANK DETAILS</t>
  </si>
  <si>
    <t>Remarks:</t>
  </si>
  <si>
    <t>The force majeure clause of ICC Publication No:421 is hereby incorporated with this contract</t>
  </si>
  <si>
    <t>APPROVED BY THE BUYER</t>
  </si>
  <si>
    <t>Container Weight will be 25 - 27 MT</t>
  </si>
  <si>
    <t xml:space="preserve">TERMS &amp; CONDITION </t>
  </si>
  <si>
    <t>Name                 : MLTI PRIVATE LIMITED</t>
  </si>
  <si>
    <t>Account No.      : 000480600003277</t>
  </si>
  <si>
    <t>Bank name        : Yes Bank</t>
  </si>
  <si>
    <t>Branch Address: Mittal chambers,Nariman point,Mumbai</t>
  </si>
  <si>
    <t>Swift Code         : YESBINBB</t>
  </si>
  <si>
    <t xml:space="preserve">   APPROVED BY THE SELLER</t>
  </si>
  <si>
    <t xml:space="preserve">THICKNESS </t>
  </si>
  <si>
    <t>Co.No.9324068493, Email ID : export.sales@moonlighttubes.com</t>
  </si>
  <si>
    <t>6</t>
  </si>
  <si>
    <t>KG/MTR</t>
  </si>
  <si>
    <t>GRAND TOTAL</t>
  </si>
  <si>
    <t>PRICE CFR</t>
  </si>
  <si>
    <t>Note: Order will be not Cancelled In case of any Government regulation that Comes into force.</t>
  </si>
  <si>
    <t>Port of Shipment       : NHAVA SHEVA, INDIA.</t>
  </si>
  <si>
    <t xml:space="preserve">PLASNOX </t>
  </si>
  <si>
    <t xml:space="preserve">RUA BONIFÁCIO HAENDCHEN, 755 - BELCHIOR CENTRAL, </t>
  </si>
  <si>
    <t>INSCRIÇÃO ESTADUAL: 251.465.888</t>
  </si>
  <si>
    <t xml:space="preserve">GASPAR - SC, 89110-975 – BRAZIL </t>
  </si>
  <si>
    <t xml:space="preserve">CNPJ: 79.925.442/0001-07 </t>
  </si>
  <si>
    <t>PHONE: + 5547-33316700</t>
  </si>
  <si>
    <t xml:space="preserve">P.O.NO. :         DATED : </t>
  </si>
  <si>
    <t>CONTRACT NO. MLTI/26-27/014</t>
  </si>
  <si>
    <t>DATE: 04.06.2026</t>
  </si>
  <si>
    <t>304/A-270</t>
  </si>
  <si>
    <t xml:space="preserve">304/A-554 </t>
  </si>
  <si>
    <t>Descripition: WELDED STAINLESS-STEEL TUBE ACCORDING TO ASTM A554 POLISHED GRIT 600 TYPE AISI 304</t>
  </si>
  <si>
    <t>OD009,525 (3/8P) x 1,2MM x 6MTS</t>
  </si>
  <si>
    <t>OD012,70 (1/2P) x 1,2MM x 6MTS</t>
  </si>
  <si>
    <t>OD015,875 (5/8P) x 1,2MM x 6MTS</t>
  </si>
  <si>
    <t>OD019,05 (3/4P) x 1,2MM x 6MTS</t>
  </si>
  <si>
    <t>OD022,225 (7/8P) x 1,2MM x 6MTS</t>
  </si>
  <si>
    <t>OD025,40 (1P) x 1,2MM x 6MTS</t>
  </si>
  <si>
    <t>OD031,75 (1.1/4P) x 1,2MM x 6MTS</t>
  </si>
  <si>
    <t>OD038,10 (1.1/2P) x 1,2MM x 6MTS</t>
  </si>
  <si>
    <t>OD050,80 (2P) x 1,2MM x 6MTS</t>
  </si>
  <si>
    <t>OD009,525 (3/8P) x 1,5MM x 6MTS</t>
  </si>
  <si>
    <t>OD012,70 (1/2P) x 1,5MM x 6MTS</t>
  </si>
  <si>
    <t>OD015,875 (5/8P) x 1,5MM x 6MTS</t>
  </si>
  <si>
    <t>OD019,05 (3/4P) x 1,5MM x 6MTS</t>
  </si>
  <si>
    <t>OD022,225 (7/8P) x 1,5MM x 6MTS</t>
  </si>
  <si>
    <t>OD025,40 (1P) x 1,5MM x 6MTS</t>
  </si>
  <si>
    <t>OD031,75 (1.1/4P) x 1,5MM x 6MTS</t>
  </si>
  <si>
    <t>OD038,10 (1.1/2P) x 1,5MM x 6MTS</t>
  </si>
  <si>
    <t>OD050,80 (2P) x 1,5MM x 6MTS</t>
  </si>
  <si>
    <t>OD063,50 (2.1/2P) x 1,5MM x 6MTS</t>
  </si>
  <si>
    <t>OD076,20 (3P) x 1,5MM x 6MTS</t>
  </si>
  <si>
    <t>OD101,60 (4P) x 1,5MM x 6MTS</t>
  </si>
  <si>
    <t>OD127,00 (5P) x 2,0MM</t>
  </si>
  <si>
    <t>OD152,40 (6P) x 2,0MM</t>
  </si>
  <si>
    <t>OD203,20 (8P) x 2,0MM</t>
  </si>
  <si>
    <t>Terms Of Payment    : 20% Advance, Balance Against Proforma    before dispatch</t>
  </si>
  <si>
    <t>INCO TERMS (2020)    : F.O.B. MUMBAI</t>
  </si>
  <si>
    <t>20% Advance</t>
  </si>
  <si>
    <t>Port Of Delivery         :   ANY BRAZILIAN PORT</t>
  </si>
  <si>
    <t>Delivery : 1st Shipment of 2 containers with 8-12 weeks after confirm order.                                                                                                                    2nd shipment of 1 container 60 days after the BL date of the previous shipment.                                                                                                           3rd Shipment 60 days after the BL date of the previous shipment.</t>
  </si>
  <si>
    <t>Descripition: WELDED STAINLESS-STEEL TUBE ACCORDING TO ASTM A270, ANNEALING + PICKLING, INSIDE SURFACE  400 # POLISHED GRIT, OUTSIDE SURFACE 600#, TYPE AISI 304</t>
  </si>
  <si>
    <t>Packing:Packaging in bundles covered with transparent plastic, and the outside with  plastic cloth. Each bundle must have two slings. Different items must not be mixed in a bundle, and on each tube and on each bundle must contain a lable identifying the material, dimensions, HEAT # and quantity. No wood spacers are to be used to separate bundles inside the container.  *On the A554 tube the lable is stick on the plastic.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</si>
</sst>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 &quot;₹&quot;\ * #,##0.00_ ;_ &quot;₹&quot;\ * \-#,##0.00_ ;_ &quot;₹&quot;\ * &quot;-&quot;??_ ;_ @_ "/>
    <numFmt numFmtId="165" formatCode="#,##0.000"/>
    <numFmt numFmtId="166" formatCode="_-[$$-409]* #,##0.00_ ;_-[$$-409]* \-#,##0.00\ ;_-[$$-409]* &quot;-&quot;??_ ;_-@_ "/>
    <numFmt numFmtId="167" formatCode="[$USD]\ #,##0.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54"/>
      <color rgb="FF7293C9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0"/>
      <name val="Arial"/>
      <family val="2"/>
    </font>
    <font>
      <sz val="14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Arial"/>
      <family val="2"/>
    </font>
    <font>
      <b/>
      <sz val="12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20" fillId="0" borderId="0" applyFont="0" applyFill="0" applyBorder="0" applyAlignment="0" applyProtection="0"/>
  </cellStyleXfs>
  <cellXfs count="233">
    <xf numFmtId="0" fontId="0" fillId="0" borderId="0" xfId="0"/>
    <xf numFmtId="0" fontId="5" fillId="0" borderId="24" xfId="1" applyNumberFormat="1" applyFont="1" applyFill="1" applyBorder="1" applyAlignment="1" applyProtection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7" fillId="3" borderId="5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15" fillId="0" borderId="20" xfId="0" applyFont="1" applyBorder="1" applyAlignment="1">
      <alignment vertical="center"/>
    </xf>
    <xf numFmtId="0" fontId="15" fillId="0" borderId="19" xfId="0" applyFont="1" applyBorder="1" applyAlignment="1">
      <alignment vertical="center"/>
    </xf>
    <xf numFmtId="0" fontId="17" fillId="0" borderId="4" xfId="0" applyFont="1" applyBorder="1" applyAlignment="1">
      <alignment horizontal="left"/>
    </xf>
    <xf numFmtId="49" fontId="15" fillId="0" borderId="5" xfId="0" applyNumberFormat="1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19" xfId="0" applyFont="1" applyBorder="1" applyAlignment="1">
      <alignment horizontal="right" vertical="center"/>
    </xf>
    <xf numFmtId="0" fontId="15" fillId="0" borderId="20" xfId="0" applyFont="1" applyBorder="1" applyAlignment="1">
      <alignment horizontal="right" vertical="center"/>
    </xf>
    <xf numFmtId="0" fontId="15" fillId="0" borderId="21" xfId="0" applyFont="1" applyBorder="1" applyAlignment="1">
      <alignment vertical="center"/>
    </xf>
    <xf numFmtId="4" fontId="15" fillId="0" borderId="22" xfId="0" applyNumberFormat="1" applyFont="1" applyBorder="1" applyAlignment="1">
      <alignment horizontal="right" vertical="center"/>
    </xf>
    <xf numFmtId="0" fontId="15" fillId="0" borderId="23" xfId="0" applyFont="1" applyBorder="1" applyAlignment="1">
      <alignment vertical="center"/>
    </xf>
    <xf numFmtId="0" fontId="15" fillId="0" borderId="21" xfId="0" applyFont="1" applyBorder="1" applyAlignment="1">
      <alignment horizontal="right" vertical="center"/>
    </xf>
    <xf numFmtId="0" fontId="15" fillId="0" borderId="23" xfId="0" applyFont="1" applyBorder="1" applyAlignment="1">
      <alignment horizontal="right" vertical="center"/>
    </xf>
    <xf numFmtId="0" fontId="15" fillId="0" borderId="22" xfId="0" applyFont="1" applyBorder="1" applyAlignment="1">
      <alignment vertical="center"/>
    </xf>
    <xf numFmtId="49" fontId="15" fillId="0" borderId="22" xfId="0" applyNumberFormat="1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12" fillId="0" borderId="19" xfId="0" applyFont="1" applyBorder="1" applyAlignment="1">
      <alignment vertical="center"/>
    </xf>
    <xf numFmtId="0" fontId="14" fillId="0" borderId="19" xfId="0" applyFont="1" applyBorder="1" applyAlignment="1">
      <alignment horizontal="center"/>
    </xf>
    <xf numFmtId="0" fontId="16" fillId="3" borderId="20" xfId="0" applyFont="1" applyFill="1" applyBorder="1" applyAlignment="1">
      <alignment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vertical="center"/>
    </xf>
    <xf numFmtId="165" fontId="22" fillId="0" borderId="17" xfId="0" applyNumberFormat="1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4" fontId="5" fillId="0" borderId="8" xfId="3" applyNumberFormat="1" applyFont="1" applyBorder="1" applyAlignment="1">
      <alignment horizontal="center" vertical="center"/>
    </xf>
    <xf numFmtId="0" fontId="19" fillId="0" borderId="35" xfId="0" applyFont="1" applyBorder="1" applyAlignment="1">
      <alignment horizontal="center"/>
    </xf>
    <xf numFmtId="0" fontId="5" fillId="0" borderId="8" xfId="3" applyFont="1" applyBorder="1" applyAlignment="1">
      <alignment horizontal="center" vertical="center"/>
    </xf>
    <xf numFmtId="166" fontId="19" fillId="0" borderId="8" xfId="0" applyNumberFormat="1" applyFont="1" applyBorder="1" applyAlignment="1">
      <alignment horizontal="center"/>
    </xf>
    <xf numFmtId="166" fontId="5" fillId="0" borderId="9" xfId="3" applyNumberFormat="1" applyFont="1" applyBorder="1" applyAlignment="1">
      <alignment horizontal="center" vertical="center"/>
    </xf>
    <xf numFmtId="2" fontId="22" fillId="4" borderId="17" xfId="0" applyNumberFormat="1" applyFont="1" applyFill="1" applyBorder="1" applyAlignment="1">
      <alignment horizontal="center" vertical="center"/>
    </xf>
    <xf numFmtId="49" fontId="21" fillId="0" borderId="17" xfId="0" applyNumberFormat="1" applyFont="1" applyBorder="1" applyAlignment="1">
      <alignment horizontal="center" vertical="center"/>
    </xf>
    <xf numFmtId="166" fontId="21" fillId="0" borderId="17" xfId="0" applyNumberFormat="1" applyFont="1" applyBorder="1" applyAlignment="1">
      <alignment horizontal="center" vertical="center"/>
    </xf>
    <xf numFmtId="166" fontId="21" fillId="0" borderId="18" xfId="0" applyNumberFormat="1" applyFont="1" applyBorder="1" applyAlignment="1">
      <alignment horizontal="center" vertical="center"/>
    </xf>
    <xf numFmtId="1" fontId="5" fillId="0" borderId="8" xfId="3" applyNumberFormat="1" applyFont="1" applyBorder="1" applyAlignment="1">
      <alignment horizontal="center" vertical="center"/>
    </xf>
    <xf numFmtId="4" fontId="14" fillId="0" borderId="40" xfId="0" applyNumberFormat="1" applyFont="1" applyBorder="1" applyAlignment="1">
      <alignment horizontal="center"/>
    </xf>
    <xf numFmtId="0" fontId="13" fillId="0" borderId="41" xfId="0" applyFont="1" applyBorder="1" applyAlignment="1">
      <alignment horizontal="center"/>
    </xf>
    <xf numFmtId="0" fontId="14" fillId="0" borderId="41" xfId="0" applyFont="1" applyBorder="1" applyAlignment="1">
      <alignment horizontal="center"/>
    </xf>
    <xf numFmtId="49" fontId="9" fillId="0" borderId="41" xfId="0" applyNumberFormat="1" applyFont="1" applyBorder="1" applyAlignment="1">
      <alignment horizontal="center" vertical="center"/>
    </xf>
    <xf numFmtId="4" fontId="14" fillId="0" borderId="41" xfId="0" applyNumberFormat="1" applyFont="1" applyBorder="1" applyAlignment="1">
      <alignment horizontal="center"/>
    </xf>
    <xf numFmtId="2" fontId="9" fillId="0" borderId="41" xfId="0" applyNumberFormat="1" applyFont="1" applyBorder="1" applyAlignment="1">
      <alignment vertical="center"/>
    </xf>
    <xf numFmtId="166" fontId="14" fillId="0" borderId="40" xfId="0" applyNumberFormat="1" applyFont="1" applyBorder="1" applyAlignment="1">
      <alignment horizontal="center"/>
    </xf>
    <xf numFmtId="166" fontId="14" fillId="0" borderId="34" xfId="0" applyNumberFormat="1" applyFont="1" applyBorder="1" applyAlignment="1">
      <alignment horizontal="center"/>
    </xf>
    <xf numFmtId="165" fontId="21" fillId="0" borderId="17" xfId="0" applyNumberFormat="1" applyFont="1" applyBorder="1" applyAlignment="1">
      <alignment horizontal="center" vertical="center"/>
    </xf>
    <xf numFmtId="0" fontId="8" fillId="3" borderId="20" xfId="0" applyFont="1" applyFill="1" applyBorder="1" applyAlignment="1">
      <alignment vertical="center"/>
    </xf>
    <xf numFmtId="0" fontId="8" fillId="3" borderId="23" xfId="0" applyFont="1" applyFill="1" applyBorder="1" applyAlignment="1">
      <alignment vertical="center"/>
    </xf>
    <xf numFmtId="0" fontId="7" fillId="3" borderId="21" xfId="0" applyFont="1" applyFill="1" applyBorder="1" applyAlignment="1">
      <alignment vertical="center"/>
    </xf>
    <xf numFmtId="0" fontId="7" fillId="3" borderId="22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2" fontId="5" fillId="0" borderId="33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5" fillId="0" borderId="11" xfId="1" applyNumberFormat="1" applyFont="1" applyFill="1" applyBorder="1" applyAlignment="1" applyProtection="1">
      <alignment horizontal="center" vertical="center"/>
    </xf>
    <xf numFmtId="0" fontId="5" fillId="0" borderId="11" xfId="2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/>
    </xf>
    <xf numFmtId="0" fontId="0" fillId="0" borderId="22" xfId="0" applyBorder="1"/>
    <xf numFmtId="0" fontId="5" fillId="0" borderId="42" xfId="1" applyNumberFormat="1" applyFont="1" applyFill="1" applyBorder="1" applyAlignment="1" applyProtection="1">
      <alignment horizontal="center" vertical="center"/>
    </xf>
    <xf numFmtId="0" fontId="22" fillId="4" borderId="43" xfId="0" applyFont="1" applyFill="1" applyBorder="1" applyAlignment="1">
      <alignment horizontal="center" vertical="center"/>
    </xf>
    <xf numFmtId="1" fontId="22" fillId="0" borderId="26" xfId="0" applyNumberFormat="1" applyFont="1" applyBorder="1" applyAlignment="1">
      <alignment horizontal="center" vertical="center"/>
    </xf>
    <xf numFmtId="4" fontId="10" fillId="0" borderId="1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49" fontId="10" fillId="0" borderId="17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center" vertical="center"/>
    </xf>
    <xf numFmtId="49" fontId="21" fillId="0" borderId="14" xfId="0" applyNumberFormat="1" applyFont="1" applyBorder="1" applyAlignment="1">
      <alignment horizontal="center" vertical="center"/>
    </xf>
    <xf numFmtId="0" fontId="25" fillId="0" borderId="14" xfId="0" applyFont="1" applyBorder="1" applyAlignment="1">
      <alignment horizontal="center"/>
    </xf>
    <xf numFmtId="166" fontId="25" fillId="0" borderId="14" xfId="0" applyNumberFormat="1" applyFont="1" applyBorder="1"/>
    <xf numFmtId="166" fontId="21" fillId="0" borderId="14" xfId="0" applyNumberFormat="1" applyFont="1" applyBorder="1" applyAlignment="1">
      <alignment horizontal="center" vertical="center"/>
    </xf>
    <xf numFmtId="2" fontId="21" fillId="0" borderId="14" xfId="0" applyNumberFormat="1" applyFont="1" applyBorder="1" applyAlignment="1">
      <alignment horizontal="center" vertical="center"/>
    </xf>
    <xf numFmtId="2" fontId="25" fillId="0" borderId="14" xfId="0" applyNumberFormat="1" applyFont="1" applyBorder="1" applyAlignment="1">
      <alignment horizontal="center"/>
    </xf>
    <xf numFmtId="2" fontId="25" fillId="0" borderId="14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7" fontId="0" fillId="0" borderId="0" xfId="0" applyNumberFormat="1"/>
    <xf numFmtId="0" fontId="26" fillId="3" borderId="19" xfId="0" applyFont="1" applyFill="1" applyBorder="1" applyAlignment="1">
      <alignment vertical="center"/>
    </xf>
    <xf numFmtId="0" fontId="25" fillId="0" borderId="13" xfId="0" applyFont="1" applyBorder="1" applyAlignment="1">
      <alignment horizontal="center" vertical="center"/>
    </xf>
    <xf numFmtId="2" fontId="25" fillId="5" borderId="14" xfId="0" applyNumberFormat="1" applyFont="1" applyFill="1" applyBorder="1" applyAlignment="1">
      <alignment horizontal="center"/>
    </xf>
    <xf numFmtId="166" fontId="17" fillId="0" borderId="15" xfId="3" applyNumberFormat="1" applyFont="1" applyBorder="1" applyAlignment="1">
      <alignment horizontal="center" vertical="center"/>
    </xf>
    <xf numFmtId="2" fontId="9" fillId="0" borderId="40" xfId="0" applyNumberFormat="1" applyFont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16" fillId="3" borderId="0" xfId="0" applyFont="1" applyFill="1" applyAlignment="1">
      <alignment horizontal="left" vertical="center"/>
    </xf>
    <xf numFmtId="0" fontId="8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25" fillId="0" borderId="13" xfId="0" applyFont="1" applyBorder="1" applyAlignment="1">
      <alignment horizontal="center"/>
    </xf>
    <xf numFmtId="166" fontId="21" fillId="0" borderId="15" xfId="0" applyNumberFormat="1" applyFont="1" applyBorder="1" applyAlignment="1">
      <alignment horizontal="center" vertical="center"/>
    </xf>
    <xf numFmtId="166" fontId="21" fillId="0" borderId="12" xfId="0" applyNumberFormat="1" applyFont="1" applyBorder="1" applyAlignment="1">
      <alignment horizontal="center" vertical="center"/>
    </xf>
    <xf numFmtId="3" fontId="14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4" fontId="14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vertical="center"/>
    </xf>
    <xf numFmtId="49" fontId="12" fillId="0" borderId="0" xfId="0" applyNumberFormat="1" applyFont="1" applyAlignment="1">
      <alignment vertical="center"/>
    </xf>
    <xf numFmtId="49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4" fontId="15" fillId="0" borderId="0" xfId="0" applyNumberFormat="1" applyFont="1" applyAlignment="1">
      <alignment horizontal="right" vertical="center"/>
    </xf>
    <xf numFmtId="0" fontId="10" fillId="0" borderId="39" xfId="0" applyFont="1" applyBorder="1" applyAlignment="1">
      <alignment horizontal="center"/>
    </xf>
    <xf numFmtId="0" fontId="25" fillId="0" borderId="45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2" fontId="25" fillId="0" borderId="46" xfId="0" applyNumberFormat="1" applyFont="1" applyBorder="1" applyAlignment="1">
      <alignment horizontal="center"/>
    </xf>
    <xf numFmtId="2" fontId="25" fillId="5" borderId="44" xfId="0" applyNumberFormat="1" applyFont="1" applyFill="1" applyBorder="1" applyAlignment="1">
      <alignment horizontal="center"/>
    </xf>
    <xf numFmtId="49" fontId="21" fillId="0" borderId="44" xfId="0" applyNumberFormat="1" applyFont="1" applyBorder="1" applyAlignment="1">
      <alignment horizontal="center" vertical="center"/>
    </xf>
    <xf numFmtId="2" fontId="25" fillId="0" borderId="44" xfId="0" applyNumberFormat="1" applyFont="1" applyBorder="1" applyAlignment="1">
      <alignment horizontal="center"/>
    </xf>
    <xf numFmtId="166" fontId="25" fillId="0" borderId="44" xfId="0" applyNumberFormat="1" applyFont="1" applyBorder="1"/>
    <xf numFmtId="166" fontId="17" fillId="0" borderId="47" xfId="3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19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19" xfId="0" applyFont="1" applyBorder="1" applyAlignment="1">
      <alignment vertical="top"/>
    </xf>
    <xf numFmtId="0" fontId="5" fillId="0" borderId="0" xfId="0" applyFont="1" applyAlignment="1">
      <alignment vertical="top"/>
    </xf>
    <xf numFmtId="0" fontId="19" fillId="0" borderId="13" xfId="0" applyFont="1" applyBorder="1" applyAlignment="1">
      <alignment horizontal="left"/>
    </xf>
    <xf numFmtId="0" fontId="19" fillId="0" borderId="14" xfId="0" applyFont="1" applyBorder="1" applyAlignment="1">
      <alignment horizontal="left"/>
    </xf>
    <xf numFmtId="0" fontId="19" fillId="0" borderId="37" xfId="0" applyFont="1" applyBorder="1" applyAlignment="1">
      <alignment horizontal="left"/>
    </xf>
    <xf numFmtId="0" fontId="19" fillId="0" borderId="15" xfId="0" applyFont="1" applyBorder="1" applyAlignment="1">
      <alignment horizontal="left"/>
    </xf>
    <xf numFmtId="0" fontId="15" fillId="0" borderId="30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37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64" fontId="23" fillId="3" borderId="1" xfId="1" applyFont="1" applyFill="1" applyBorder="1" applyAlignment="1">
      <alignment horizontal="center" vertical="center"/>
    </xf>
    <xf numFmtId="164" fontId="23" fillId="3" borderId="2" xfId="1" applyFont="1" applyFill="1" applyBorder="1" applyAlignment="1">
      <alignment horizontal="center" vertical="center"/>
    </xf>
    <xf numFmtId="164" fontId="23" fillId="3" borderId="3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18" fillId="0" borderId="2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36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9" fillId="0" borderId="7" xfId="0" applyFont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9" fillId="0" borderId="35" xfId="0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64" fontId="23" fillId="3" borderId="1" xfId="1" applyFont="1" applyFill="1" applyBorder="1" applyAlignment="1">
      <alignment horizontal="center" vertical="center" wrapText="1"/>
    </xf>
    <xf numFmtId="164" fontId="23" fillId="3" borderId="2" xfId="1" applyFont="1" applyFill="1" applyBorder="1" applyAlignment="1">
      <alignment horizontal="center" vertical="center" wrapText="1"/>
    </xf>
    <xf numFmtId="164" fontId="23" fillId="3" borderId="3" xfId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5" fillId="0" borderId="31" xfId="0" applyFont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</cellXfs>
  <cellStyles count="7">
    <cellStyle name="Moeda" xfId="1" builtinId="4"/>
    <cellStyle name="Normal" xfId="0" builtinId="0"/>
    <cellStyle name="Normal 12 2" xfId="4" xr:uid="{00000000-0005-0000-0000-000002000000}"/>
    <cellStyle name="Normal 2" xfId="3" xr:uid="{00000000-0005-0000-0000-000003000000}"/>
    <cellStyle name="Normal 4 2" xfId="2" xr:uid="{00000000-0005-0000-0000-000004000000}"/>
    <cellStyle name="Porcentagem 2" xfId="5" xr:uid="{00000000-0005-0000-0000-000005000000}"/>
    <cellStyle name="Vírgula 2" xfId="6" xr:uid="{00000000-0005-0000-0000-00000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10</xdr:row>
      <xdr:rowOff>190500</xdr:rowOff>
    </xdr:to>
    <xdr:sp macro="" textlink="">
      <xdr:nvSpPr>
        <xdr:cNvPr id="253" name="Rectangle 1078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10</xdr:row>
      <xdr:rowOff>190500</xdr:rowOff>
    </xdr:to>
    <xdr:sp macro="" textlink="">
      <xdr:nvSpPr>
        <xdr:cNvPr id="254" name="Rectangle 1079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104775</xdr:rowOff>
    </xdr:to>
    <xdr:sp macro="" textlink="">
      <xdr:nvSpPr>
        <xdr:cNvPr id="255" name="Rectangle 1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104775</xdr:rowOff>
    </xdr:to>
    <xdr:sp macro="" textlink="">
      <xdr:nvSpPr>
        <xdr:cNvPr id="256" name="Rectangle 2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57" name="Rectangle 1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58" name="Rectangle 2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59" name="Rectangle 1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60" name="Rectangle 2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61" name="Rectangle 1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62" name="Rectangle 2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63" name="Rectangle 1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64" name="Rectangle 2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65" name="Rectangle 1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66" name="Rectangle 2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67" name="Rectangle 1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68" name="Rectangle 2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69" name="Rectangle 1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70" name="Rectangle 2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71" name="Rectangle 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72" name="Rectangle 2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73" name="Rectangle 1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74" name="Rectangle 2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75" name="Rectangle 1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76" name="Rectangle 2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0</xdr:colOff>
      <xdr:row>6</xdr:row>
      <xdr:rowOff>45014</xdr:rowOff>
    </xdr:from>
    <xdr:ext cx="7016620" cy="574068"/>
    <xdr:sp macro="" textlink="">
      <xdr:nvSpPr>
        <xdr:cNvPr id="277" name="Rectangl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4768712" y="2185338"/>
          <a:ext cx="7016620" cy="574068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endParaRPr lang="en-US" sz="32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Bookman Old Style" pitchFamily="18" charset="0"/>
          </a:endParaRPr>
        </a:p>
      </xdr:txBody>
    </xdr:sp>
    <xdr:clientData/>
  </xdr:one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10</xdr:row>
      <xdr:rowOff>190500</xdr:rowOff>
    </xdr:to>
    <xdr:sp macro="" textlink="">
      <xdr:nvSpPr>
        <xdr:cNvPr id="278" name="Rectangle 1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10</xdr:row>
      <xdr:rowOff>190500</xdr:rowOff>
    </xdr:to>
    <xdr:sp macro="" textlink="">
      <xdr:nvSpPr>
        <xdr:cNvPr id="279" name="Rectangle 2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104775</xdr:rowOff>
    </xdr:to>
    <xdr:sp macro="" textlink="">
      <xdr:nvSpPr>
        <xdr:cNvPr id="280" name="Rectangle 1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104775</xdr:rowOff>
    </xdr:to>
    <xdr:sp macro="" textlink="">
      <xdr:nvSpPr>
        <xdr:cNvPr id="281" name="Rectangle 2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82" name="Rectangle 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83" name="Rectangle 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84" name="Rectangle 1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85" name="Rectangle 2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86" name="Rectangle 1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87" name="Rectangle 2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88" name="Rectangle 1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89" name="Rectangle 2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90" name="Rectangle 1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91" name="Rectangle 2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92" name="Rectangle 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93" name="Rectangle 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94" name="Rectangle 1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95" name="Rectangle 2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96" name="Rectangle 1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97" name="Rectangle 2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98" name="Rectangle 1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299" name="Rectangle 2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00" name="Rectangle 1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01" name="Rectangle 2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0</xdr:colOff>
      <xdr:row>1</xdr:row>
      <xdr:rowOff>0</xdr:rowOff>
    </xdr:from>
    <xdr:ext cx="7016620" cy="574068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5781724" y="305381025"/>
          <a:ext cx="7016620" cy="574068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endParaRPr lang="en-US" sz="32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Bookman Old Style" pitchFamily="18" charset="0"/>
          </a:endParaRPr>
        </a:p>
      </xdr:txBody>
    </xdr:sp>
    <xdr:clientData/>
  </xdr:one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10</xdr:row>
      <xdr:rowOff>190500</xdr:rowOff>
    </xdr:to>
    <xdr:sp macro="" textlink="">
      <xdr:nvSpPr>
        <xdr:cNvPr id="303" name="Rectangle 1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10</xdr:row>
      <xdr:rowOff>190500</xdr:rowOff>
    </xdr:to>
    <xdr:sp macro="" textlink="">
      <xdr:nvSpPr>
        <xdr:cNvPr id="304" name="Rectangle 2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104775</xdr:rowOff>
    </xdr:to>
    <xdr:sp macro="" textlink="">
      <xdr:nvSpPr>
        <xdr:cNvPr id="305" name="Rectangle 1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104775</xdr:rowOff>
    </xdr:to>
    <xdr:sp macro="" textlink="">
      <xdr:nvSpPr>
        <xdr:cNvPr id="306" name="Rectangle 2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07" name="Rectangle 1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08" name="Rectangle 2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09" name="Rectangle 1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10" name="Rectangle 2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11" name="Rectangle 1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12" name="Rectangle 2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13" name="Rectangle 1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14" name="Rectangle 2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15" name="Rectangle 1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16" name="Rectangle 2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17" name="Rectangle 1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18" name="Rectangle 2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19" name="Rectangle 1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20" name="Rectangle 2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21" name="Rectangle 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22" name="Rectangle 2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23" name="Rectangle 1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24" name="Rectangle 2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25" name="Rectangle 1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26" name="Rectangle 2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0</xdr:colOff>
      <xdr:row>1</xdr:row>
      <xdr:rowOff>0</xdr:rowOff>
    </xdr:from>
    <xdr:ext cx="7016620" cy="574068"/>
    <xdr:sp macro="" textlink="">
      <xdr:nvSpPr>
        <xdr:cNvPr id="327" name="Rectangle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5781724" y="305381025"/>
          <a:ext cx="7016620" cy="574068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endParaRPr lang="en-US" sz="32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Bookman Old Style" pitchFamily="18" charset="0"/>
          </a:endParaRPr>
        </a:p>
      </xdr:txBody>
    </xdr:sp>
    <xdr:clientData/>
  </xdr:one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10</xdr:row>
      <xdr:rowOff>190500</xdr:rowOff>
    </xdr:to>
    <xdr:sp macro="" textlink="">
      <xdr:nvSpPr>
        <xdr:cNvPr id="328" name="Rectangle 1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10</xdr:row>
      <xdr:rowOff>190500</xdr:rowOff>
    </xdr:to>
    <xdr:sp macro="" textlink="">
      <xdr:nvSpPr>
        <xdr:cNvPr id="329" name="Rectangle 2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104775</xdr:rowOff>
    </xdr:to>
    <xdr:sp macro="" textlink="">
      <xdr:nvSpPr>
        <xdr:cNvPr id="330" name="Rectangle 1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104775</xdr:rowOff>
    </xdr:to>
    <xdr:sp macro="" textlink="">
      <xdr:nvSpPr>
        <xdr:cNvPr id="331" name="Rectangle 2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32" name="Rectangle 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33" name="Rectangle 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34" name="Rectangle 1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35" name="Rectangle 2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36" name="Rectangle 1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37" name="Rectangle 2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38" name="Rectangle 1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39" name="Rectangle 2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40" name="Rectangle 1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41" name="Rectangle 2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42" name="Rectangle 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43" name="Rectangle 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44" name="Rectangle 1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45" name="Rectangle 2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46" name="Rectangle 1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47" name="Rectangle 2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48" name="Rectangle 1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49" name="Rectangle 2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50" name="Rectangle 1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51" name="Rectangle 2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0</xdr:colOff>
      <xdr:row>1</xdr:row>
      <xdr:rowOff>0</xdr:rowOff>
    </xdr:from>
    <xdr:ext cx="7016620" cy="574068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/>
      </xdr:nvSpPr>
      <xdr:spPr>
        <a:xfrm>
          <a:off x="5781724" y="305381025"/>
          <a:ext cx="7016620" cy="574068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endParaRPr lang="en-US" sz="32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Bookman Old Style" pitchFamily="18" charset="0"/>
          </a:endParaRPr>
        </a:p>
      </xdr:txBody>
    </xdr:sp>
    <xdr:clientData/>
  </xdr:one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10</xdr:row>
      <xdr:rowOff>190500</xdr:rowOff>
    </xdr:to>
    <xdr:sp macro="" textlink="">
      <xdr:nvSpPr>
        <xdr:cNvPr id="353" name="Rectangle 1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10</xdr:row>
      <xdr:rowOff>190500</xdr:rowOff>
    </xdr:to>
    <xdr:sp macro="" textlink="">
      <xdr:nvSpPr>
        <xdr:cNvPr id="354" name="Rectangle 2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104775</xdr:rowOff>
    </xdr:to>
    <xdr:sp macro="" textlink="">
      <xdr:nvSpPr>
        <xdr:cNvPr id="355" name="Rectangle 1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104775</xdr:rowOff>
    </xdr:to>
    <xdr:sp macro="" textlink="">
      <xdr:nvSpPr>
        <xdr:cNvPr id="356" name="Rectangle 2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57" name="Rectangle 1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58" name="Rectangle 2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59" name="Rectangle 1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60" name="Rectangle 2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61" name="Rectangle 1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62" name="Rectangle 2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63" name="Rectangle 1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64" name="Rectangle 2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65" name="Rectangle 1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66" name="Rectangle 2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67" name="Rectangle 1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68" name="Rectangle 2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69" name="Rectangle 1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70" name="Rectangle 2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71" name="Rectangle 1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72" name="Rectangle 2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73" name="Rectangle 1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74" name="Rectangle 2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75" name="Rectangle 1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76" name="Rectangle 2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0</xdr:colOff>
      <xdr:row>1</xdr:row>
      <xdr:rowOff>0</xdr:rowOff>
    </xdr:from>
    <xdr:ext cx="7016620" cy="574068"/>
    <xdr:sp macro="" textlink="">
      <xdr:nvSpPr>
        <xdr:cNvPr id="377" name="Rectangle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5781724" y="305381025"/>
          <a:ext cx="7016620" cy="574068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endParaRPr lang="en-US" sz="32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Bookman Old Style" pitchFamily="18" charset="0"/>
          </a:endParaRPr>
        </a:p>
      </xdr:txBody>
    </xdr:sp>
    <xdr:clientData/>
  </xdr:one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10</xdr:row>
      <xdr:rowOff>190500</xdr:rowOff>
    </xdr:to>
    <xdr:sp macro="" textlink="">
      <xdr:nvSpPr>
        <xdr:cNvPr id="378" name="Rectangle 1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10</xdr:row>
      <xdr:rowOff>190500</xdr:rowOff>
    </xdr:to>
    <xdr:sp macro="" textlink="">
      <xdr:nvSpPr>
        <xdr:cNvPr id="379" name="Rectangle 2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104775</xdr:rowOff>
    </xdr:to>
    <xdr:sp macro="" textlink="">
      <xdr:nvSpPr>
        <xdr:cNvPr id="380" name="Rectangle 1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104775</xdr:rowOff>
    </xdr:to>
    <xdr:sp macro="" textlink="">
      <xdr:nvSpPr>
        <xdr:cNvPr id="381" name="Rectangle 2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82" name="Rectangle 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83" name="Rectangle 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84" name="Rectangle 1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85" name="Rectangle 2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86" name="Rectangle 1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87" name="Rectangle 2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88" name="Rectangle 1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89" name="Rectangle 2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90" name="Rectangle 1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91" name="Rectangle 2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92" name="Rectangle 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93" name="Rectangle 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94" name="Rectangle 1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95" name="Rectangle 2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96" name="Rectangle 1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97" name="Rectangle 2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98" name="Rectangle 1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399" name="Rectangle 2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00" name="Rectangle 1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01" name="Rectangle 2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0</xdr:colOff>
      <xdr:row>1</xdr:row>
      <xdr:rowOff>0</xdr:rowOff>
    </xdr:from>
    <xdr:ext cx="7016620" cy="574068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/>
      </xdr:nvSpPr>
      <xdr:spPr>
        <a:xfrm>
          <a:off x="5781724" y="305381025"/>
          <a:ext cx="7016620" cy="574068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endParaRPr lang="en-US" sz="32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Bookman Old Style" pitchFamily="18" charset="0"/>
          </a:endParaRPr>
        </a:p>
      </xdr:txBody>
    </xdr:sp>
    <xdr:clientData/>
  </xdr:one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03" name="Rectangle 1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04" name="Rectangle 2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05" name="Rectangle 1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06" name="Rectangle 2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10</xdr:row>
      <xdr:rowOff>190500</xdr:rowOff>
    </xdr:to>
    <xdr:sp macro="" textlink="">
      <xdr:nvSpPr>
        <xdr:cNvPr id="407" name="Rectangle 1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10</xdr:row>
      <xdr:rowOff>190500</xdr:rowOff>
    </xdr:to>
    <xdr:sp macro="" textlink="">
      <xdr:nvSpPr>
        <xdr:cNvPr id="408" name="Rectangle 2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104775</xdr:rowOff>
    </xdr:to>
    <xdr:sp macro="" textlink="">
      <xdr:nvSpPr>
        <xdr:cNvPr id="409" name="Rectangle 1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104775</xdr:rowOff>
    </xdr:to>
    <xdr:sp macro="" textlink="">
      <xdr:nvSpPr>
        <xdr:cNvPr id="410" name="Rectangle 2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11" name="Rectangle 1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12" name="Rectangle 2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13" name="Rectangle 1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14" name="Rectangle 2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15" name="Rectangle 1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16" name="Rectangle 2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17" name="Rectangle 1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18" name="Rectangle 2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19" name="Rectangle 1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20" name="Rectangle 2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21" name="Rectangle 1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22" name="Rectangle 2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23" name="Rectangle 1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24" name="Rectangle 2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25" name="Rectangle 1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26" name="Rectangle 2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27" name="Rectangle 1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28" name="Rectangle 2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29" name="Rectangle 1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30" name="Rectangle 2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0</xdr:colOff>
      <xdr:row>1</xdr:row>
      <xdr:rowOff>0</xdr:rowOff>
    </xdr:from>
    <xdr:ext cx="7016620" cy="574068"/>
    <xdr:sp macro="" textlink="">
      <xdr:nvSpPr>
        <xdr:cNvPr id="431" name="Rectangle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5781724" y="305381025"/>
          <a:ext cx="7016620" cy="574068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endParaRPr lang="en-US" sz="32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Bookman Old Style" pitchFamily="18" charset="0"/>
          </a:endParaRPr>
        </a:p>
      </xdr:txBody>
    </xdr:sp>
    <xdr:clientData/>
  </xdr:one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10</xdr:row>
      <xdr:rowOff>200025</xdr:rowOff>
    </xdr:to>
    <xdr:sp macro="" textlink="">
      <xdr:nvSpPr>
        <xdr:cNvPr id="432" name="Rectangle 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10</xdr:row>
      <xdr:rowOff>200025</xdr:rowOff>
    </xdr:to>
    <xdr:sp macro="" textlink="">
      <xdr:nvSpPr>
        <xdr:cNvPr id="433" name="Rectangle 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34" name="Rectangle 1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114300</xdr:rowOff>
    </xdr:to>
    <xdr:sp macro="" textlink="">
      <xdr:nvSpPr>
        <xdr:cNvPr id="435" name="Rectangle 2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123825</xdr:rowOff>
    </xdr:to>
    <xdr:sp macro="" textlink="">
      <xdr:nvSpPr>
        <xdr:cNvPr id="436" name="Rectangle 1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123825</xdr:rowOff>
    </xdr:to>
    <xdr:sp macro="" textlink="">
      <xdr:nvSpPr>
        <xdr:cNvPr id="437" name="Rectangle 2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123825</xdr:rowOff>
    </xdr:to>
    <xdr:sp macro="" textlink="">
      <xdr:nvSpPr>
        <xdr:cNvPr id="438" name="Rectangle 1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123825</xdr:rowOff>
    </xdr:to>
    <xdr:sp macro="" textlink="">
      <xdr:nvSpPr>
        <xdr:cNvPr id="439" name="Rectangle 2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123825</xdr:rowOff>
    </xdr:to>
    <xdr:sp macro="" textlink="">
      <xdr:nvSpPr>
        <xdr:cNvPr id="440" name="Rectangle 1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123825</xdr:rowOff>
    </xdr:to>
    <xdr:sp macro="" textlink="">
      <xdr:nvSpPr>
        <xdr:cNvPr id="441" name="Rectangle 2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123825</xdr:rowOff>
    </xdr:to>
    <xdr:sp macro="" textlink="">
      <xdr:nvSpPr>
        <xdr:cNvPr id="442" name="Rectangle 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123825</xdr:rowOff>
    </xdr:to>
    <xdr:sp macro="" textlink="">
      <xdr:nvSpPr>
        <xdr:cNvPr id="443" name="Rectangle 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123825</xdr:rowOff>
    </xdr:to>
    <xdr:sp macro="" textlink="">
      <xdr:nvSpPr>
        <xdr:cNvPr id="444" name="Rectangle 1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123825</xdr:rowOff>
    </xdr:to>
    <xdr:sp macro="" textlink="">
      <xdr:nvSpPr>
        <xdr:cNvPr id="445" name="Rectangle 2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123825</xdr:rowOff>
    </xdr:to>
    <xdr:sp macro="" textlink="">
      <xdr:nvSpPr>
        <xdr:cNvPr id="446" name="Rectangle 1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123825</xdr:rowOff>
    </xdr:to>
    <xdr:sp macro="" textlink="">
      <xdr:nvSpPr>
        <xdr:cNvPr id="447" name="Rectangle 2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123825</xdr:rowOff>
    </xdr:to>
    <xdr:sp macro="" textlink="">
      <xdr:nvSpPr>
        <xdr:cNvPr id="448" name="Rectangle 1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123825</xdr:rowOff>
    </xdr:to>
    <xdr:sp macro="" textlink="">
      <xdr:nvSpPr>
        <xdr:cNvPr id="449" name="Rectangle 2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123825</xdr:rowOff>
    </xdr:to>
    <xdr:sp macro="" textlink="">
      <xdr:nvSpPr>
        <xdr:cNvPr id="450" name="Rectangle 1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123825</xdr:rowOff>
    </xdr:to>
    <xdr:sp macro="" textlink="">
      <xdr:nvSpPr>
        <xdr:cNvPr id="451" name="Rectangle 2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123825</xdr:rowOff>
    </xdr:to>
    <xdr:sp macro="" textlink="">
      <xdr:nvSpPr>
        <xdr:cNvPr id="452" name="Rectangle 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0</xdr:rowOff>
    </xdr:from>
    <xdr:to>
      <xdr:col>6</xdr:col>
      <xdr:colOff>533400</xdr:colOff>
      <xdr:row>11</xdr:row>
      <xdr:rowOff>123825</xdr:rowOff>
    </xdr:to>
    <xdr:sp macro="" textlink="">
      <xdr:nvSpPr>
        <xdr:cNvPr id="453" name="Rectangle 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20</xdr:row>
      <xdr:rowOff>0</xdr:rowOff>
    </xdr:from>
    <xdr:to>
      <xdr:col>6</xdr:col>
      <xdr:colOff>533400</xdr:colOff>
      <xdr:row>22</xdr:row>
      <xdr:rowOff>38100</xdr:rowOff>
    </xdr:to>
    <xdr:sp macro="" textlink="">
      <xdr:nvSpPr>
        <xdr:cNvPr id="454" name="Rectangle 1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20</xdr:row>
      <xdr:rowOff>0</xdr:rowOff>
    </xdr:from>
    <xdr:to>
      <xdr:col>6</xdr:col>
      <xdr:colOff>533400</xdr:colOff>
      <xdr:row>22</xdr:row>
      <xdr:rowOff>38100</xdr:rowOff>
    </xdr:to>
    <xdr:sp macro="" textlink="">
      <xdr:nvSpPr>
        <xdr:cNvPr id="455" name="Rectangle 2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0</xdr:colOff>
      <xdr:row>1</xdr:row>
      <xdr:rowOff>80624</xdr:rowOff>
    </xdr:from>
    <xdr:ext cx="7016620" cy="574068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5662662" y="305461649"/>
          <a:ext cx="7016620" cy="574068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sz="3200" b="1" cap="all" spc="0" baseline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  <a:latin typeface="Bookman Old Style" pitchFamily="18" charset="0"/>
            </a:rPr>
            <a:t>MLTI PRIVATE LIMITED</a:t>
          </a:r>
          <a:endParaRPr lang="en-US" sz="32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Bookman Old Style" pitchFamily="18" charset="0"/>
          </a:endParaRPr>
        </a:p>
      </xdr:txBody>
    </xdr:sp>
    <xdr:clientData/>
  </xdr:oneCellAnchor>
  <xdr:twoCellAnchor editAs="oneCell">
    <xdr:from>
      <xdr:col>6</xdr:col>
      <xdr:colOff>390525</xdr:colOff>
      <xdr:row>45</xdr:row>
      <xdr:rowOff>0</xdr:rowOff>
    </xdr:from>
    <xdr:to>
      <xdr:col>6</xdr:col>
      <xdr:colOff>581025</xdr:colOff>
      <xdr:row>48</xdr:row>
      <xdr:rowOff>162485</xdr:rowOff>
    </xdr:to>
    <xdr:sp macro="" textlink="">
      <xdr:nvSpPr>
        <xdr:cNvPr id="458" name="Rectangle 2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>
          <a:spLocks noChangeArrowheads="1"/>
        </xdr:cNvSpPr>
      </xdr:nvSpPr>
      <xdr:spPr bwMode="auto">
        <a:xfrm>
          <a:off x="7315200" y="81724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45</xdr:row>
      <xdr:rowOff>0</xdr:rowOff>
    </xdr:from>
    <xdr:to>
      <xdr:col>6</xdr:col>
      <xdr:colOff>533400</xdr:colOff>
      <xdr:row>48</xdr:row>
      <xdr:rowOff>162485</xdr:rowOff>
    </xdr:to>
    <xdr:sp macro="" textlink="">
      <xdr:nvSpPr>
        <xdr:cNvPr id="459" name="Rectangle 1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>
          <a:spLocks noChangeArrowheads="1"/>
        </xdr:cNvSpPr>
      </xdr:nvSpPr>
      <xdr:spPr bwMode="auto">
        <a:xfrm>
          <a:off x="7267575" y="73723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20</xdr:row>
      <xdr:rowOff>0</xdr:rowOff>
    </xdr:from>
    <xdr:to>
      <xdr:col>6</xdr:col>
      <xdr:colOff>533400</xdr:colOff>
      <xdr:row>22</xdr:row>
      <xdr:rowOff>219075</xdr:rowOff>
    </xdr:to>
    <xdr:sp macro="" textlink="">
      <xdr:nvSpPr>
        <xdr:cNvPr id="460" name="Rectangle 2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20</xdr:row>
      <xdr:rowOff>0</xdr:rowOff>
    </xdr:from>
    <xdr:to>
      <xdr:col>6</xdr:col>
      <xdr:colOff>533400</xdr:colOff>
      <xdr:row>22</xdr:row>
      <xdr:rowOff>219075</xdr:rowOff>
    </xdr:to>
    <xdr:sp macro="" textlink="">
      <xdr:nvSpPr>
        <xdr:cNvPr id="461" name="Rectangle 1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20</xdr:row>
      <xdr:rowOff>0</xdr:rowOff>
    </xdr:from>
    <xdr:to>
      <xdr:col>6</xdr:col>
      <xdr:colOff>533400</xdr:colOff>
      <xdr:row>22</xdr:row>
      <xdr:rowOff>219075</xdr:rowOff>
    </xdr:to>
    <xdr:sp macro="" textlink="">
      <xdr:nvSpPr>
        <xdr:cNvPr id="462" name="Rectangle 2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20</xdr:row>
      <xdr:rowOff>0</xdr:rowOff>
    </xdr:from>
    <xdr:to>
      <xdr:col>6</xdr:col>
      <xdr:colOff>533400</xdr:colOff>
      <xdr:row>22</xdr:row>
      <xdr:rowOff>219075</xdr:rowOff>
    </xdr:to>
    <xdr:sp macro="" textlink="">
      <xdr:nvSpPr>
        <xdr:cNvPr id="463" name="Rectangle 1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20</xdr:row>
      <xdr:rowOff>0</xdr:rowOff>
    </xdr:from>
    <xdr:to>
      <xdr:col>6</xdr:col>
      <xdr:colOff>533400</xdr:colOff>
      <xdr:row>22</xdr:row>
      <xdr:rowOff>219075</xdr:rowOff>
    </xdr:to>
    <xdr:sp macro="" textlink="">
      <xdr:nvSpPr>
        <xdr:cNvPr id="464" name="Rectangle 2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20</xdr:row>
      <xdr:rowOff>0</xdr:rowOff>
    </xdr:from>
    <xdr:to>
      <xdr:col>6</xdr:col>
      <xdr:colOff>533400</xdr:colOff>
      <xdr:row>22</xdr:row>
      <xdr:rowOff>219075</xdr:rowOff>
    </xdr:to>
    <xdr:sp macro="" textlink="">
      <xdr:nvSpPr>
        <xdr:cNvPr id="465" name="Rectangle 1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20</xdr:row>
      <xdr:rowOff>0</xdr:rowOff>
    </xdr:from>
    <xdr:to>
      <xdr:col>6</xdr:col>
      <xdr:colOff>533400</xdr:colOff>
      <xdr:row>22</xdr:row>
      <xdr:rowOff>219075</xdr:rowOff>
    </xdr:to>
    <xdr:sp macro="" textlink="">
      <xdr:nvSpPr>
        <xdr:cNvPr id="466" name="Rectangle 2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20</xdr:row>
      <xdr:rowOff>0</xdr:rowOff>
    </xdr:from>
    <xdr:to>
      <xdr:col>6</xdr:col>
      <xdr:colOff>533400</xdr:colOff>
      <xdr:row>22</xdr:row>
      <xdr:rowOff>219075</xdr:rowOff>
    </xdr:to>
    <xdr:sp macro="" textlink="">
      <xdr:nvSpPr>
        <xdr:cNvPr id="467" name="Rectangle 1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20</xdr:row>
      <xdr:rowOff>0</xdr:rowOff>
    </xdr:from>
    <xdr:to>
      <xdr:col>6</xdr:col>
      <xdr:colOff>533400</xdr:colOff>
      <xdr:row>22</xdr:row>
      <xdr:rowOff>219075</xdr:rowOff>
    </xdr:to>
    <xdr:sp macro="" textlink="">
      <xdr:nvSpPr>
        <xdr:cNvPr id="468" name="Rectangle 2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20</xdr:row>
      <xdr:rowOff>0</xdr:rowOff>
    </xdr:from>
    <xdr:to>
      <xdr:col>6</xdr:col>
      <xdr:colOff>533400</xdr:colOff>
      <xdr:row>22</xdr:row>
      <xdr:rowOff>219075</xdr:rowOff>
    </xdr:to>
    <xdr:sp macro="" textlink="">
      <xdr:nvSpPr>
        <xdr:cNvPr id="469" name="Rectangle 1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20</xdr:row>
      <xdr:rowOff>0</xdr:rowOff>
    </xdr:from>
    <xdr:to>
      <xdr:col>6</xdr:col>
      <xdr:colOff>533400</xdr:colOff>
      <xdr:row>22</xdr:row>
      <xdr:rowOff>219075</xdr:rowOff>
    </xdr:to>
    <xdr:sp macro="" textlink="">
      <xdr:nvSpPr>
        <xdr:cNvPr id="470" name="Rectangle 2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77</xdr:row>
      <xdr:rowOff>0</xdr:rowOff>
    </xdr:from>
    <xdr:to>
      <xdr:col>6</xdr:col>
      <xdr:colOff>533400</xdr:colOff>
      <xdr:row>80</xdr:row>
      <xdr:rowOff>23532</xdr:rowOff>
    </xdr:to>
    <xdr:sp macro="" textlink="">
      <xdr:nvSpPr>
        <xdr:cNvPr id="471" name="Rectangle 1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77</xdr:row>
      <xdr:rowOff>0</xdr:rowOff>
    </xdr:from>
    <xdr:to>
      <xdr:col>6</xdr:col>
      <xdr:colOff>533400</xdr:colOff>
      <xdr:row>80</xdr:row>
      <xdr:rowOff>23532</xdr:rowOff>
    </xdr:to>
    <xdr:sp macro="" textlink="">
      <xdr:nvSpPr>
        <xdr:cNvPr id="472" name="Rectangle 2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285750</xdr:colOff>
      <xdr:row>77</xdr:row>
      <xdr:rowOff>0</xdr:rowOff>
    </xdr:from>
    <xdr:to>
      <xdr:col>6</xdr:col>
      <xdr:colOff>476250</xdr:colOff>
      <xdr:row>80</xdr:row>
      <xdr:rowOff>166407</xdr:rowOff>
    </xdr:to>
    <xdr:sp macro="" textlink="">
      <xdr:nvSpPr>
        <xdr:cNvPr id="473" name="Rectangle 1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>
          <a:spLocks noChangeArrowheads="1"/>
        </xdr:cNvSpPr>
      </xdr:nvSpPr>
      <xdr:spPr bwMode="auto">
        <a:xfrm>
          <a:off x="8820150" y="319859025"/>
          <a:ext cx="190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77</xdr:row>
      <xdr:rowOff>0</xdr:rowOff>
    </xdr:from>
    <xdr:to>
      <xdr:col>6</xdr:col>
      <xdr:colOff>533400</xdr:colOff>
      <xdr:row>80</xdr:row>
      <xdr:rowOff>147357</xdr:rowOff>
    </xdr:to>
    <xdr:sp macro="" textlink="">
      <xdr:nvSpPr>
        <xdr:cNvPr id="474" name="Rectangle 2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77</xdr:row>
      <xdr:rowOff>0</xdr:rowOff>
    </xdr:from>
    <xdr:to>
      <xdr:col>6</xdr:col>
      <xdr:colOff>533400</xdr:colOff>
      <xdr:row>80</xdr:row>
      <xdr:rowOff>147357</xdr:rowOff>
    </xdr:to>
    <xdr:sp macro="" textlink="">
      <xdr:nvSpPr>
        <xdr:cNvPr id="475" name="Rectangle 1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77</xdr:row>
      <xdr:rowOff>0</xdr:rowOff>
    </xdr:from>
    <xdr:to>
      <xdr:col>6</xdr:col>
      <xdr:colOff>533400</xdr:colOff>
      <xdr:row>80</xdr:row>
      <xdr:rowOff>147357</xdr:rowOff>
    </xdr:to>
    <xdr:sp macro="" textlink="">
      <xdr:nvSpPr>
        <xdr:cNvPr id="476" name="Rectangle 2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77</xdr:row>
      <xdr:rowOff>0</xdr:rowOff>
    </xdr:from>
    <xdr:to>
      <xdr:col>6</xdr:col>
      <xdr:colOff>533400</xdr:colOff>
      <xdr:row>80</xdr:row>
      <xdr:rowOff>147357</xdr:rowOff>
    </xdr:to>
    <xdr:sp macro="" textlink="">
      <xdr:nvSpPr>
        <xdr:cNvPr id="477" name="Rectangle 1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77</xdr:row>
      <xdr:rowOff>0</xdr:rowOff>
    </xdr:from>
    <xdr:to>
      <xdr:col>6</xdr:col>
      <xdr:colOff>533400</xdr:colOff>
      <xdr:row>80</xdr:row>
      <xdr:rowOff>147357</xdr:rowOff>
    </xdr:to>
    <xdr:sp macro="" textlink="">
      <xdr:nvSpPr>
        <xdr:cNvPr id="478" name="Rectangle 2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77</xdr:row>
      <xdr:rowOff>0</xdr:rowOff>
    </xdr:from>
    <xdr:to>
      <xdr:col>6</xdr:col>
      <xdr:colOff>533400</xdr:colOff>
      <xdr:row>80</xdr:row>
      <xdr:rowOff>147357</xdr:rowOff>
    </xdr:to>
    <xdr:sp macro="" textlink="">
      <xdr:nvSpPr>
        <xdr:cNvPr id="479" name="Rectangle 1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77</xdr:row>
      <xdr:rowOff>0</xdr:rowOff>
    </xdr:from>
    <xdr:to>
      <xdr:col>6</xdr:col>
      <xdr:colOff>533400</xdr:colOff>
      <xdr:row>80</xdr:row>
      <xdr:rowOff>147357</xdr:rowOff>
    </xdr:to>
    <xdr:sp macro="" textlink="">
      <xdr:nvSpPr>
        <xdr:cNvPr id="480" name="Rectangle 2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77</xdr:row>
      <xdr:rowOff>0</xdr:rowOff>
    </xdr:from>
    <xdr:to>
      <xdr:col>6</xdr:col>
      <xdr:colOff>533400</xdr:colOff>
      <xdr:row>80</xdr:row>
      <xdr:rowOff>147357</xdr:rowOff>
    </xdr:to>
    <xdr:sp macro="" textlink="">
      <xdr:nvSpPr>
        <xdr:cNvPr id="481" name="Rectangle 1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77</xdr:row>
      <xdr:rowOff>0</xdr:rowOff>
    </xdr:from>
    <xdr:to>
      <xdr:col>6</xdr:col>
      <xdr:colOff>533400</xdr:colOff>
      <xdr:row>80</xdr:row>
      <xdr:rowOff>147357</xdr:rowOff>
    </xdr:to>
    <xdr:sp macro="" textlink="">
      <xdr:nvSpPr>
        <xdr:cNvPr id="482" name="Rectangle 2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77</xdr:row>
      <xdr:rowOff>0</xdr:rowOff>
    </xdr:from>
    <xdr:to>
      <xdr:col>6</xdr:col>
      <xdr:colOff>533400</xdr:colOff>
      <xdr:row>80</xdr:row>
      <xdr:rowOff>147357</xdr:rowOff>
    </xdr:to>
    <xdr:sp macro="" textlink="">
      <xdr:nvSpPr>
        <xdr:cNvPr id="483" name="Rectangle 1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77</xdr:row>
      <xdr:rowOff>0</xdr:rowOff>
    </xdr:from>
    <xdr:to>
      <xdr:col>6</xdr:col>
      <xdr:colOff>533400</xdr:colOff>
      <xdr:row>80</xdr:row>
      <xdr:rowOff>147357</xdr:rowOff>
    </xdr:to>
    <xdr:sp macro="" textlink="">
      <xdr:nvSpPr>
        <xdr:cNvPr id="484" name="Rectangle 2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77</xdr:row>
      <xdr:rowOff>0</xdr:rowOff>
    </xdr:from>
    <xdr:to>
      <xdr:col>6</xdr:col>
      <xdr:colOff>533400</xdr:colOff>
      <xdr:row>80</xdr:row>
      <xdr:rowOff>147357</xdr:rowOff>
    </xdr:to>
    <xdr:sp macro="" textlink="">
      <xdr:nvSpPr>
        <xdr:cNvPr id="485" name="Rectangle 1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77</xdr:row>
      <xdr:rowOff>0</xdr:rowOff>
    </xdr:from>
    <xdr:to>
      <xdr:col>6</xdr:col>
      <xdr:colOff>533400</xdr:colOff>
      <xdr:row>80</xdr:row>
      <xdr:rowOff>147357</xdr:rowOff>
    </xdr:to>
    <xdr:sp macro="" textlink="">
      <xdr:nvSpPr>
        <xdr:cNvPr id="486" name="Rectangle 2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438150</xdr:colOff>
      <xdr:row>77</xdr:row>
      <xdr:rowOff>0</xdr:rowOff>
    </xdr:from>
    <xdr:to>
      <xdr:col>5</xdr:col>
      <xdr:colOff>628650</xdr:colOff>
      <xdr:row>80</xdr:row>
      <xdr:rowOff>52107</xdr:rowOff>
    </xdr:to>
    <xdr:sp macro="" textlink="">
      <xdr:nvSpPr>
        <xdr:cNvPr id="487" name="Rectangle 1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>
          <a:spLocks noChangeArrowheads="1"/>
        </xdr:cNvSpPr>
      </xdr:nvSpPr>
      <xdr:spPr bwMode="auto">
        <a:xfrm>
          <a:off x="7277100" y="329498325"/>
          <a:ext cx="1905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342900</xdr:colOff>
      <xdr:row>77</xdr:row>
      <xdr:rowOff>0</xdr:rowOff>
    </xdr:from>
    <xdr:to>
      <xdr:col>5</xdr:col>
      <xdr:colOff>533400</xdr:colOff>
      <xdr:row>80</xdr:row>
      <xdr:rowOff>23532</xdr:rowOff>
    </xdr:to>
    <xdr:sp macro="" textlink="">
      <xdr:nvSpPr>
        <xdr:cNvPr id="488" name="Rectangle 2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285750</xdr:colOff>
      <xdr:row>77</xdr:row>
      <xdr:rowOff>0</xdr:rowOff>
    </xdr:from>
    <xdr:to>
      <xdr:col>5</xdr:col>
      <xdr:colOff>476250</xdr:colOff>
      <xdr:row>80</xdr:row>
      <xdr:rowOff>166407</xdr:rowOff>
    </xdr:to>
    <xdr:sp macro="" textlink="">
      <xdr:nvSpPr>
        <xdr:cNvPr id="489" name="Rectangle 1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>
          <a:spLocks noChangeArrowheads="1"/>
        </xdr:cNvSpPr>
      </xdr:nvSpPr>
      <xdr:spPr bwMode="auto">
        <a:xfrm>
          <a:off x="7124700" y="327336150"/>
          <a:ext cx="190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342900</xdr:colOff>
      <xdr:row>77</xdr:row>
      <xdr:rowOff>0</xdr:rowOff>
    </xdr:from>
    <xdr:to>
      <xdr:col>5</xdr:col>
      <xdr:colOff>533400</xdr:colOff>
      <xdr:row>80</xdr:row>
      <xdr:rowOff>147357</xdr:rowOff>
    </xdr:to>
    <xdr:sp macro="" textlink="">
      <xdr:nvSpPr>
        <xdr:cNvPr id="490" name="Rectangle 2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342900</xdr:colOff>
      <xdr:row>77</xdr:row>
      <xdr:rowOff>0</xdr:rowOff>
    </xdr:from>
    <xdr:to>
      <xdr:col>5</xdr:col>
      <xdr:colOff>533400</xdr:colOff>
      <xdr:row>80</xdr:row>
      <xdr:rowOff>147357</xdr:rowOff>
    </xdr:to>
    <xdr:sp macro="" textlink="">
      <xdr:nvSpPr>
        <xdr:cNvPr id="491" name="Rectangle 1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342900</xdr:colOff>
      <xdr:row>77</xdr:row>
      <xdr:rowOff>0</xdr:rowOff>
    </xdr:from>
    <xdr:to>
      <xdr:col>5</xdr:col>
      <xdr:colOff>533400</xdr:colOff>
      <xdr:row>80</xdr:row>
      <xdr:rowOff>147357</xdr:rowOff>
    </xdr:to>
    <xdr:sp macro="" textlink="">
      <xdr:nvSpPr>
        <xdr:cNvPr id="492" name="Rectangle 2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342900</xdr:colOff>
      <xdr:row>77</xdr:row>
      <xdr:rowOff>0</xdr:rowOff>
    </xdr:from>
    <xdr:to>
      <xdr:col>5</xdr:col>
      <xdr:colOff>533400</xdr:colOff>
      <xdr:row>80</xdr:row>
      <xdr:rowOff>147357</xdr:rowOff>
    </xdr:to>
    <xdr:sp macro="" textlink="">
      <xdr:nvSpPr>
        <xdr:cNvPr id="493" name="Rectangle 1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342900</xdr:colOff>
      <xdr:row>77</xdr:row>
      <xdr:rowOff>0</xdr:rowOff>
    </xdr:from>
    <xdr:to>
      <xdr:col>5</xdr:col>
      <xdr:colOff>533400</xdr:colOff>
      <xdr:row>80</xdr:row>
      <xdr:rowOff>147357</xdr:rowOff>
    </xdr:to>
    <xdr:sp macro="" textlink="">
      <xdr:nvSpPr>
        <xdr:cNvPr id="494" name="Rectangle 2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342900</xdr:colOff>
      <xdr:row>77</xdr:row>
      <xdr:rowOff>0</xdr:rowOff>
    </xdr:from>
    <xdr:to>
      <xdr:col>5</xdr:col>
      <xdr:colOff>533400</xdr:colOff>
      <xdr:row>80</xdr:row>
      <xdr:rowOff>147357</xdr:rowOff>
    </xdr:to>
    <xdr:sp macro="" textlink="">
      <xdr:nvSpPr>
        <xdr:cNvPr id="495" name="Rectangle 1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342900</xdr:colOff>
      <xdr:row>77</xdr:row>
      <xdr:rowOff>0</xdr:rowOff>
    </xdr:from>
    <xdr:to>
      <xdr:col>5</xdr:col>
      <xdr:colOff>533400</xdr:colOff>
      <xdr:row>80</xdr:row>
      <xdr:rowOff>147357</xdr:rowOff>
    </xdr:to>
    <xdr:sp macro="" textlink="">
      <xdr:nvSpPr>
        <xdr:cNvPr id="496" name="Rectangle 2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342900</xdr:colOff>
      <xdr:row>77</xdr:row>
      <xdr:rowOff>0</xdr:rowOff>
    </xdr:from>
    <xdr:to>
      <xdr:col>5</xdr:col>
      <xdr:colOff>533400</xdr:colOff>
      <xdr:row>80</xdr:row>
      <xdr:rowOff>147357</xdr:rowOff>
    </xdr:to>
    <xdr:sp macro="" textlink="">
      <xdr:nvSpPr>
        <xdr:cNvPr id="497" name="Rectangle 1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342900</xdr:colOff>
      <xdr:row>77</xdr:row>
      <xdr:rowOff>0</xdr:rowOff>
    </xdr:from>
    <xdr:to>
      <xdr:col>5</xdr:col>
      <xdr:colOff>533400</xdr:colOff>
      <xdr:row>80</xdr:row>
      <xdr:rowOff>147357</xdr:rowOff>
    </xdr:to>
    <xdr:sp macro="" textlink="">
      <xdr:nvSpPr>
        <xdr:cNvPr id="498" name="Rectangle 2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342900</xdr:colOff>
      <xdr:row>77</xdr:row>
      <xdr:rowOff>0</xdr:rowOff>
    </xdr:from>
    <xdr:to>
      <xdr:col>5</xdr:col>
      <xdr:colOff>533400</xdr:colOff>
      <xdr:row>80</xdr:row>
      <xdr:rowOff>147357</xdr:rowOff>
    </xdr:to>
    <xdr:sp macro="" textlink="">
      <xdr:nvSpPr>
        <xdr:cNvPr id="499" name="Rectangle 1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342900</xdr:colOff>
      <xdr:row>77</xdr:row>
      <xdr:rowOff>0</xdr:rowOff>
    </xdr:from>
    <xdr:to>
      <xdr:col>5</xdr:col>
      <xdr:colOff>533400</xdr:colOff>
      <xdr:row>80</xdr:row>
      <xdr:rowOff>147357</xdr:rowOff>
    </xdr:to>
    <xdr:sp macro="" textlink="">
      <xdr:nvSpPr>
        <xdr:cNvPr id="500" name="Rectangle 2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342900</xdr:colOff>
      <xdr:row>77</xdr:row>
      <xdr:rowOff>0</xdr:rowOff>
    </xdr:from>
    <xdr:to>
      <xdr:col>5</xdr:col>
      <xdr:colOff>533400</xdr:colOff>
      <xdr:row>80</xdr:row>
      <xdr:rowOff>147357</xdr:rowOff>
    </xdr:to>
    <xdr:sp macro="" textlink="">
      <xdr:nvSpPr>
        <xdr:cNvPr id="501" name="Rectangle 1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342900</xdr:colOff>
      <xdr:row>77</xdr:row>
      <xdr:rowOff>0</xdr:rowOff>
    </xdr:from>
    <xdr:to>
      <xdr:col>5</xdr:col>
      <xdr:colOff>533400</xdr:colOff>
      <xdr:row>80</xdr:row>
      <xdr:rowOff>147357</xdr:rowOff>
    </xdr:to>
    <xdr:sp macro="" textlink="">
      <xdr:nvSpPr>
        <xdr:cNvPr id="502" name="Rectangle 2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657225</xdr:colOff>
      <xdr:row>1</xdr:row>
      <xdr:rowOff>104775</xdr:rowOff>
    </xdr:from>
    <xdr:to>
      <xdr:col>3</xdr:col>
      <xdr:colOff>556933</xdr:colOff>
      <xdr:row>1</xdr:row>
      <xdr:rowOff>771525</xdr:rowOff>
    </xdr:to>
    <xdr:pic>
      <xdr:nvPicPr>
        <xdr:cNvPr id="503" name="Picture 1063" descr="MoonLight_1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" y="304800"/>
          <a:ext cx="2019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342900</xdr:colOff>
      <xdr:row>20</xdr:row>
      <xdr:rowOff>0</xdr:rowOff>
    </xdr:from>
    <xdr:ext cx="190500" cy="686920"/>
    <xdr:sp macro="" textlink="">
      <xdr:nvSpPr>
        <xdr:cNvPr id="504" name="Rectangle 1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20</xdr:row>
      <xdr:rowOff>0</xdr:rowOff>
    </xdr:from>
    <xdr:ext cx="190500" cy="686920"/>
    <xdr:sp macro="" textlink="">
      <xdr:nvSpPr>
        <xdr:cNvPr id="505" name="Rectangle 2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20</xdr:row>
      <xdr:rowOff>0</xdr:rowOff>
    </xdr:from>
    <xdr:ext cx="190500" cy="866775"/>
    <xdr:sp macro="" textlink="">
      <xdr:nvSpPr>
        <xdr:cNvPr id="506" name="Rectangle 2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20</xdr:row>
      <xdr:rowOff>0</xdr:rowOff>
    </xdr:from>
    <xdr:ext cx="190500" cy="866775"/>
    <xdr:sp macro="" textlink="">
      <xdr:nvSpPr>
        <xdr:cNvPr id="507" name="Rectangle 1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20</xdr:row>
      <xdr:rowOff>0</xdr:rowOff>
    </xdr:from>
    <xdr:ext cx="190500" cy="866775"/>
    <xdr:sp macro="" textlink="">
      <xdr:nvSpPr>
        <xdr:cNvPr id="508" name="Rectangle 2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20</xdr:row>
      <xdr:rowOff>0</xdr:rowOff>
    </xdr:from>
    <xdr:ext cx="190500" cy="866775"/>
    <xdr:sp macro="" textlink="">
      <xdr:nvSpPr>
        <xdr:cNvPr id="509" name="Rectangle 1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20</xdr:row>
      <xdr:rowOff>0</xdr:rowOff>
    </xdr:from>
    <xdr:ext cx="190500" cy="866775"/>
    <xdr:sp macro="" textlink="">
      <xdr:nvSpPr>
        <xdr:cNvPr id="510" name="Rectangle 2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20</xdr:row>
      <xdr:rowOff>0</xdr:rowOff>
    </xdr:from>
    <xdr:ext cx="190500" cy="866775"/>
    <xdr:sp macro="" textlink="">
      <xdr:nvSpPr>
        <xdr:cNvPr id="511" name="Rectangle 1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20</xdr:row>
      <xdr:rowOff>0</xdr:rowOff>
    </xdr:from>
    <xdr:ext cx="190500" cy="866775"/>
    <xdr:sp macro="" textlink="">
      <xdr:nvSpPr>
        <xdr:cNvPr id="512" name="Rectangle 2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20</xdr:row>
      <xdr:rowOff>0</xdr:rowOff>
    </xdr:from>
    <xdr:ext cx="190500" cy="866775"/>
    <xdr:sp macro="" textlink="">
      <xdr:nvSpPr>
        <xdr:cNvPr id="513" name="Rectangle 1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20</xdr:row>
      <xdr:rowOff>0</xdr:rowOff>
    </xdr:from>
    <xdr:ext cx="190500" cy="866775"/>
    <xdr:sp macro="" textlink="">
      <xdr:nvSpPr>
        <xdr:cNvPr id="514" name="Rectangle 2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20</xdr:row>
      <xdr:rowOff>0</xdr:rowOff>
    </xdr:from>
    <xdr:ext cx="190500" cy="866775"/>
    <xdr:sp macro="" textlink="">
      <xdr:nvSpPr>
        <xdr:cNvPr id="515" name="Rectangle 1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20</xdr:row>
      <xdr:rowOff>0</xdr:rowOff>
    </xdr:from>
    <xdr:ext cx="190500" cy="866775"/>
    <xdr:sp macro="" textlink="">
      <xdr:nvSpPr>
        <xdr:cNvPr id="516" name="Rectangle 2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20</xdr:row>
      <xdr:rowOff>0</xdr:rowOff>
    </xdr:from>
    <xdr:ext cx="190500" cy="686920"/>
    <xdr:sp macro="" textlink="">
      <xdr:nvSpPr>
        <xdr:cNvPr id="517" name="Rectangle 1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>
          <a:spLocks noChangeArrowheads="1"/>
        </xdr:cNvSpPr>
      </xdr:nvSpPr>
      <xdr:spPr bwMode="auto">
        <a:xfrm>
          <a:off x="7021606" y="9771529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20</xdr:row>
      <xdr:rowOff>0</xdr:rowOff>
    </xdr:from>
    <xdr:ext cx="190500" cy="686920"/>
    <xdr:sp macro="" textlink="">
      <xdr:nvSpPr>
        <xdr:cNvPr id="518" name="Rectangle 2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>
          <a:spLocks noChangeArrowheads="1"/>
        </xdr:cNvSpPr>
      </xdr:nvSpPr>
      <xdr:spPr bwMode="auto">
        <a:xfrm>
          <a:off x="7021606" y="9771529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686920"/>
    <xdr:sp macro="" textlink="">
      <xdr:nvSpPr>
        <xdr:cNvPr id="457" name="Rectangle 1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686920"/>
    <xdr:sp macro="" textlink="">
      <xdr:nvSpPr>
        <xdr:cNvPr id="519" name="Rectangle 2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866775"/>
    <xdr:sp macro="" textlink="">
      <xdr:nvSpPr>
        <xdr:cNvPr id="520" name="Rectangle 2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866775"/>
    <xdr:sp macro="" textlink="">
      <xdr:nvSpPr>
        <xdr:cNvPr id="521" name="Rectangle 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866775"/>
    <xdr:sp macro="" textlink="">
      <xdr:nvSpPr>
        <xdr:cNvPr id="522" name="Rectangle 2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866775"/>
    <xdr:sp macro="" textlink="">
      <xdr:nvSpPr>
        <xdr:cNvPr id="523" name="Rectangle 1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866775"/>
    <xdr:sp macro="" textlink="">
      <xdr:nvSpPr>
        <xdr:cNvPr id="524" name="Rectangle 2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866775"/>
    <xdr:sp macro="" textlink="">
      <xdr:nvSpPr>
        <xdr:cNvPr id="525" name="Rectangle 1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866775"/>
    <xdr:sp macro="" textlink="">
      <xdr:nvSpPr>
        <xdr:cNvPr id="526" name="Rectangle 2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866775"/>
    <xdr:sp macro="" textlink="">
      <xdr:nvSpPr>
        <xdr:cNvPr id="527" name="Rectangle 1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866775"/>
    <xdr:sp macro="" textlink="">
      <xdr:nvSpPr>
        <xdr:cNvPr id="528" name="Rectangle 2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866775"/>
    <xdr:sp macro="" textlink="">
      <xdr:nvSpPr>
        <xdr:cNvPr id="529" name="Rectangle 1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866775"/>
    <xdr:sp macro="" textlink="">
      <xdr:nvSpPr>
        <xdr:cNvPr id="530" name="Rectangle 2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68692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210151-3104-4F2F-B681-B7CD2A930D9F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68692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F39C51A-B54A-4538-B494-6B2F1D0E507C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866775"/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8B08079-6468-4F33-A0B0-36B720545691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866775"/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BF4E7CE9-CB69-4084-9866-3058455BDA35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866775"/>
    <xdr:sp macro="" textlink="">
      <xdr:nvSpPr>
        <xdr:cNvPr id="6" name="Rectangle 2">
          <a:extLst>
            <a:ext uri="{FF2B5EF4-FFF2-40B4-BE49-F238E27FC236}">
              <a16:creationId xmlns:a16="http://schemas.microsoft.com/office/drawing/2014/main" id="{E3B45C02-1759-4683-ACBE-04B18E918BB7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866775"/>
    <xdr:sp macro="" textlink="">
      <xdr:nvSpPr>
        <xdr:cNvPr id="7" name="Rectangle 1">
          <a:extLst>
            <a:ext uri="{FF2B5EF4-FFF2-40B4-BE49-F238E27FC236}">
              <a16:creationId xmlns:a16="http://schemas.microsoft.com/office/drawing/2014/main" id="{5B492733-5248-4157-9032-E974AF9E1B09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866775"/>
    <xdr:sp macro="" textlink="">
      <xdr:nvSpPr>
        <xdr:cNvPr id="8" name="Rectangle 2">
          <a:extLst>
            <a:ext uri="{FF2B5EF4-FFF2-40B4-BE49-F238E27FC236}">
              <a16:creationId xmlns:a16="http://schemas.microsoft.com/office/drawing/2014/main" id="{A78D465B-3CE9-49C2-898A-91EF8DA632CA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866775"/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A0F4AC18-4B75-4F3A-A907-A46941E53AED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866775"/>
    <xdr:sp macro="" textlink="">
      <xdr:nvSpPr>
        <xdr:cNvPr id="10" name="Rectangle 2">
          <a:extLst>
            <a:ext uri="{FF2B5EF4-FFF2-40B4-BE49-F238E27FC236}">
              <a16:creationId xmlns:a16="http://schemas.microsoft.com/office/drawing/2014/main" id="{BE390E01-1A18-410B-8093-989A1DB4826A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866775"/>
    <xdr:sp macro="" textlink="">
      <xdr:nvSpPr>
        <xdr:cNvPr id="11" name="Rectangle 1">
          <a:extLst>
            <a:ext uri="{FF2B5EF4-FFF2-40B4-BE49-F238E27FC236}">
              <a16:creationId xmlns:a16="http://schemas.microsoft.com/office/drawing/2014/main" id="{D13C3929-BBC4-4CD0-8C01-BF21683E3516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866775"/>
    <xdr:sp macro="" textlink="">
      <xdr:nvSpPr>
        <xdr:cNvPr id="12" name="Rectangle 2">
          <a:extLst>
            <a:ext uri="{FF2B5EF4-FFF2-40B4-BE49-F238E27FC236}">
              <a16:creationId xmlns:a16="http://schemas.microsoft.com/office/drawing/2014/main" id="{82631B34-8BFC-44BA-AE22-8D006E762E71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866775"/>
    <xdr:sp macro="" textlink="">
      <xdr:nvSpPr>
        <xdr:cNvPr id="13" name="Rectangle 1">
          <a:extLst>
            <a:ext uri="{FF2B5EF4-FFF2-40B4-BE49-F238E27FC236}">
              <a16:creationId xmlns:a16="http://schemas.microsoft.com/office/drawing/2014/main" id="{9366E1FD-11A4-4594-9AA3-2BE1E8F56D23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75</xdr:row>
      <xdr:rowOff>0</xdr:rowOff>
    </xdr:from>
    <xdr:ext cx="190500" cy="866775"/>
    <xdr:sp macro="" textlink="">
      <xdr:nvSpPr>
        <xdr:cNvPr id="14" name="Rectangle 2">
          <a:extLst>
            <a:ext uri="{FF2B5EF4-FFF2-40B4-BE49-F238E27FC236}">
              <a16:creationId xmlns:a16="http://schemas.microsoft.com/office/drawing/2014/main" id="{4365FCE5-8999-4DA4-A925-2FFC520329FE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390526</xdr:colOff>
      <xdr:row>96</xdr:row>
      <xdr:rowOff>190499</xdr:rowOff>
    </xdr:from>
    <xdr:to>
      <xdr:col>4</xdr:col>
      <xdr:colOff>285751</xdr:colOff>
      <xdr:row>99</xdr:row>
      <xdr:rowOff>600075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439541C-ED84-593C-2B55-30052204D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6" y="17345024"/>
          <a:ext cx="1771650" cy="1123951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6</xdr:col>
      <xdr:colOff>342900</xdr:colOff>
      <xdr:row>46</xdr:row>
      <xdr:rowOff>0</xdr:rowOff>
    </xdr:from>
    <xdr:ext cx="190500" cy="685800"/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614FADFD-0C21-411B-B41A-8157232DC31A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685800"/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2DD56A8F-A28D-4DA7-9F10-B7211C961039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866775"/>
    <xdr:sp macro="" textlink="">
      <xdr:nvSpPr>
        <xdr:cNvPr id="18" name="Rectangle 2">
          <a:extLst>
            <a:ext uri="{FF2B5EF4-FFF2-40B4-BE49-F238E27FC236}">
              <a16:creationId xmlns:a16="http://schemas.microsoft.com/office/drawing/2014/main" id="{30BF303C-C9D5-411F-89F7-E5947B11D789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866775"/>
    <xdr:sp macro="" textlink="">
      <xdr:nvSpPr>
        <xdr:cNvPr id="19" name="Rectangle 1">
          <a:extLst>
            <a:ext uri="{FF2B5EF4-FFF2-40B4-BE49-F238E27FC236}">
              <a16:creationId xmlns:a16="http://schemas.microsoft.com/office/drawing/2014/main" id="{F542DD2E-10B4-4B17-B8ED-07D0FDEBB599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866775"/>
    <xdr:sp macro="" textlink="">
      <xdr:nvSpPr>
        <xdr:cNvPr id="20" name="Rectangle 2">
          <a:extLst>
            <a:ext uri="{FF2B5EF4-FFF2-40B4-BE49-F238E27FC236}">
              <a16:creationId xmlns:a16="http://schemas.microsoft.com/office/drawing/2014/main" id="{00AED381-2C2B-4144-A9F4-A4B0C300DA13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866775"/>
    <xdr:sp macro="" textlink="">
      <xdr:nvSpPr>
        <xdr:cNvPr id="21" name="Rectangle 1">
          <a:extLst>
            <a:ext uri="{FF2B5EF4-FFF2-40B4-BE49-F238E27FC236}">
              <a16:creationId xmlns:a16="http://schemas.microsoft.com/office/drawing/2014/main" id="{FC9B7482-6665-4A17-B52C-4B36D4A5F80D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866775"/>
    <xdr:sp macro="" textlink="">
      <xdr:nvSpPr>
        <xdr:cNvPr id="22" name="Rectangle 2">
          <a:extLst>
            <a:ext uri="{FF2B5EF4-FFF2-40B4-BE49-F238E27FC236}">
              <a16:creationId xmlns:a16="http://schemas.microsoft.com/office/drawing/2014/main" id="{11BAA358-E4B0-47E8-9E56-6AB10FBDA808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866775"/>
    <xdr:sp macro="" textlink="">
      <xdr:nvSpPr>
        <xdr:cNvPr id="23" name="Rectangle 1">
          <a:extLst>
            <a:ext uri="{FF2B5EF4-FFF2-40B4-BE49-F238E27FC236}">
              <a16:creationId xmlns:a16="http://schemas.microsoft.com/office/drawing/2014/main" id="{39BC0913-D6A5-48BB-BC73-EFA27D561F6A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866775"/>
    <xdr:sp macro="" textlink="">
      <xdr:nvSpPr>
        <xdr:cNvPr id="24" name="Rectangle 2">
          <a:extLst>
            <a:ext uri="{FF2B5EF4-FFF2-40B4-BE49-F238E27FC236}">
              <a16:creationId xmlns:a16="http://schemas.microsoft.com/office/drawing/2014/main" id="{043ADD3E-2FC9-4FE8-94E6-41CBC3327CF3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866775"/>
    <xdr:sp macro="" textlink="">
      <xdr:nvSpPr>
        <xdr:cNvPr id="25" name="Rectangle 1">
          <a:extLst>
            <a:ext uri="{FF2B5EF4-FFF2-40B4-BE49-F238E27FC236}">
              <a16:creationId xmlns:a16="http://schemas.microsoft.com/office/drawing/2014/main" id="{39F9AFDA-BAE9-409A-AB00-E62A0F2F7679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866775"/>
    <xdr:sp macro="" textlink="">
      <xdr:nvSpPr>
        <xdr:cNvPr id="26" name="Rectangle 2">
          <a:extLst>
            <a:ext uri="{FF2B5EF4-FFF2-40B4-BE49-F238E27FC236}">
              <a16:creationId xmlns:a16="http://schemas.microsoft.com/office/drawing/2014/main" id="{ECEE524F-AF24-45CE-AFE1-A84183127F8B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866775"/>
    <xdr:sp macro="" textlink="">
      <xdr:nvSpPr>
        <xdr:cNvPr id="27" name="Rectangle 1">
          <a:extLst>
            <a:ext uri="{FF2B5EF4-FFF2-40B4-BE49-F238E27FC236}">
              <a16:creationId xmlns:a16="http://schemas.microsoft.com/office/drawing/2014/main" id="{90A5DE85-8E1A-4DE8-A5AC-8CD39C4325C8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866775"/>
    <xdr:sp macro="" textlink="">
      <xdr:nvSpPr>
        <xdr:cNvPr id="28" name="Rectangle 2">
          <a:extLst>
            <a:ext uri="{FF2B5EF4-FFF2-40B4-BE49-F238E27FC236}">
              <a16:creationId xmlns:a16="http://schemas.microsoft.com/office/drawing/2014/main" id="{C7EBAE22-6371-46A2-8743-4A4ACF0260F5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686920"/>
    <xdr:sp macro="" textlink="">
      <xdr:nvSpPr>
        <xdr:cNvPr id="29" name="Rectangle 1">
          <a:extLst>
            <a:ext uri="{FF2B5EF4-FFF2-40B4-BE49-F238E27FC236}">
              <a16:creationId xmlns:a16="http://schemas.microsoft.com/office/drawing/2014/main" id="{A32A47E4-92D4-4F66-A3CF-EA7B07844A70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686920"/>
    <xdr:sp macro="" textlink="">
      <xdr:nvSpPr>
        <xdr:cNvPr id="30" name="Rectangle 2">
          <a:extLst>
            <a:ext uri="{FF2B5EF4-FFF2-40B4-BE49-F238E27FC236}">
              <a16:creationId xmlns:a16="http://schemas.microsoft.com/office/drawing/2014/main" id="{AF04643A-6FE1-4C81-B318-9E07F85BC108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866775"/>
    <xdr:sp macro="" textlink="">
      <xdr:nvSpPr>
        <xdr:cNvPr id="31" name="Rectangle 2">
          <a:extLst>
            <a:ext uri="{FF2B5EF4-FFF2-40B4-BE49-F238E27FC236}">
              <a16:creationId xmlns:a16="http://schemas.microsoft.com/office/drawing/2014/main" id="{1D617115-6044-46B5-91B9-326527BD19AB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866775"/>
    <xdr:sp macro="" textlink="">
      <xdr:nvSpPr>
        <xdr:cNvPr id="32" name="Rectangle 1">
          <a:extLst>
            <a:ext uri="{FF2B5EF4-FFF2-40B4-BE49-F238E27FC236}">
              <a16:creationId xmlns:a16="http://schemas.microsoft.com/office/drawing/2014/main" id="{611700F0-220C-4ABC-B586-BEAB00ED8D70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866775"/>
    <xdr:sp macro="" textlink="">
      <xdr:nvSpPr>
        <xdr:cNvPr id="33" name="Rectangle 2">
          <a:extLst>
            <a:ext uri="{FF2B5EF4-FFF2-40B4-BE49-F238E27FC236}">
              <a16:creationId xmlns:a16="http://schemas.microsoft.com/office/drawing/2014/main" id="{D35E8ED5-A249-42A0-87F1-E2A2A00599B5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866775"/>
    <xdr:sp macro="" textlink="">
      <xdr:nvSpPr>
        <xdr:cNvPr id="34" name="Rectangle 1">
          <a:extLst>
            <a:ext uri="{FF2B5EF4-FFF2-40B4-BE49-F238E27FC236}">
              <a16:creationId xmlns:a16="http://schemas.microsoft.com/office/drawing/2014/main" id="{D6282074-196E-495E-AE9B-A801821807F5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866775"/>
    <xdr:sp macro="" textlink="">
      <xdr:nvSpPr>
        <xdr:cNvPr id="35" name="Rectangle 2">
          <a:extLst>
            <a:ext uri="{FF2B5EF4-FFF2-40B4-BE49-F238E27FC236}">
              <a16:creationId xmlns:a16="http://schemas.microsoft.com/office/drawing/2014/main" id="{83A475E1-255A-4CEC-9640-A2564FDAE02A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866775"/>
    <xdr:sp macro="" textlink="">
      <xdr:nvSpPr>
        <xdr:cNvPr id="36" name="Rectangle 1">
          <a:extLst>
            <a:ext uri="{FF2B5EF4-FFF2-40B4-BE49-F238E27FC236}">
              <a16:creationId xmlns:a16="http://schemas.microsoft.com/office/drawing/2014/main" id="{A5AF48F5-59A7-48CF-8F39-A51E814A530B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866775"/>
    <xdr:sp macro="" textlink="">
      <xdr:nvSpPr>
        <xdr:cNvPr id="37" name="Rectangle 2">
          <a:extLst>
            <a:ext uri="{FF2B5EF4-FFF2-40B4-BE49-F238E27FC236}">
              <a16:creationId xmlns:a16="http://schemas.microsoft.com/office/drawing/2014/main" id="{95A99C41-2D64-4B12-B11E-89E5C040F3D2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866775"/>
    <xdr:sp macro="" textlink="">
      <xdr:nvSpPr>
        <xdr:cNvPr id="38" name="Rectangle 1">
          <a:extLst>
            <a:ext uri="{FF2B5EF4-FFF2-40B4-BE49-F238E27FC236}">
              <a16:creationId xmlns:a16="http://schemas.microsoft.com/office/drawing/2014/main" id="{086CBF7C-8B27-403D-B870-A10B75D15A41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866775"/>
    <xdr:sp macro="" textlink="">
      <xdr:nvSpPr>
        <xdr:cNvPr id="39" name="Rectangle 2">
          <a:extLst>
            <a:ext uri="{FF2B5EF4-FFF2-40B4-BE49-F238E27FC236}">
              <a16:creationId xmlns:a16="http://schemas.microsoft.com/office/drawing/2014/main" id="{57BC1642-81DC-4636-B047-081F6C401226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866775"/>
    <xdr:sp macro="" textlink="">
      <xdr:nvSpPr>
        <xdr:cNvPr id="40" name="Rectangle 1">
          <a:extLst>
            <a:ext uri="{FF2B5EF4-FFF2-40B4-BE49-F238E27FC236}">
              <a16:creationId xmlns:a16="http://schemas.microsoft.com/office/drawing/2014/main" id="{5448005F-0E0B-4E56-91A8-62D753138FF5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180975</xdr:rowOff>
    </xdr:from>
    <xdr:ext cx="190500" cy="866775"/>
    <xdr:sp macro="" textlink="">
      <xdr:nvSpPr>
        <xdr:cNvPr id="41" name="Rectangle 2">
          <a:extLst>
            <a:ext uri="{FF2B5EF4-FFF2-40B4-BE49-F238E27FC236}">
              <a16:creationId xmlns:a16="http://schemas.microsoft.com/office/drawing/2014/main" id="{640D5E69-B6D1-4070-A61F-A179E52DDEBC}"/>
            </a:ext>
          </a:extLst>
        </xdr:cNvPr>
        <xdr:cNvSpPr>
          <a:spLocks noChangeArrowheads="1"/>
        </xdr:cNvSpPr>
      </xdr:nvSpPr>
      <xdr:spPr bwMode="auto">
        <a:xfrm>
          <a:off x="5991225" y="962977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686920"/>
    <xdr:sp macro="" textlink="">
      <xdr:nvSpPr>
        <xdr:cNvPr id="42" name="Rectangle 1">
          <a:extLst>
            <a:ext uri="{FF2B5EF4-FFF2-40B4-BE49-F238E27FC236}">
              <a16:creationId xmlns:a16="http://schemas.microsoft.com/office/drawing/2014/main" id="{4EEC1B66-F365-4A9C-8028-6E4B4DB12944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342900</xdr:colOff>
      <xdr:row>46</xdr:row>
      <xdr:rowOff>0</xdr:rowOff>
    </xdr:from>
    <xdr:ext cx="190500" cy="686920"/>
    <xdr:sp macro="" textlink="">
      <xdr:nvSpPr>
        <xdr:cNvPr id="43" name="Rectangle 2">
          <a:extLst>
            <a:ext uri="{FF2B5EF4-FFF2-40B4-BE49-F238E27FC236}">
              <a16:creationId xmlns:a16="http://schemas.microsoft.com/office/drawing/2014/main" id="{50B46BAB-70BC-431A-A50F-D26A2BDE9162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M102"/>
  <sheetViews>
    <sheetView tabSelected="1" topLeftCell="A77" zoomScaleNormal="100" workbookViewId="0">
      <selection activeCell="G92" sqref="G92:J92"/>
    </sheetView>
  </sheetViews>
  <sheetFormatPr defaultRowHeight="14.5" x14ac:dyDescent="0.35"/>
  <cols>
    <col min="2" max="2" width="18" customWidth="1"/>
    <col min="3" max="3" width="13.81640625" customWidth="1"/>
    <col min="4" max="4" width="14.26953125" customWidth="1"/>
    <col min="5" max="5" width="13.7265625" customWidth="1"/>
    <col min="6" max="6" width="11.54296875" customWidth="1"/>
    <col min="7" max="7" width="10.7265625" customWidth="1"/>
    <col min="8" max="8" width="17.7265625" customWidth="1"/>
    <col min="9" max="9" width="14.81640625" customWidth="1"/>
    <col min="10" max="10" width="35.08984375" customWidth="1"/>
    <col min="12" max="12" width="31.81640625" bestFit="1" customWidth="1"/>
    <col min="13" max="13" width="9.54296875" bestFit="1" customWidth="1"/>
  </cols>
  <sheetData>
    <row r="1" spans="2:10" ht="15" thickBot="1" x14ac:dyDescent="0.4"/>
    <row r="2" spans="2:10" ht="69.5" thickBot="1" x14ac:dyDescent="0.4">
      <c r="B2" s="200"/>
      <c r="C2" s="201"/>
      <c r="D2" s="201"/>
      <c r="E2" s="201"/>
      <c r="F2" s="201"/>
      <c r="G2" s="201"/>
      <c r="H2" s="201"/>
      <c r="I2" s="201"/>
      <c r="J2" s="202"/>
    </row>
    <row r="3" spans="2:10" ht="24" thickBot="1" x14ac:dyDescent="0.4">
      <c r="B3" s="203" t="s">
        <v>0</v>
      </c>
      <c r="C3" s="204"/>
      <c r="D3" s="204"/>
      <c r="E3" s="204"/>
      <c r="F3" s="204"/>
      <c r="G3" s="204"/>
      <c r="H3" s="204"/>
      <c r="I3" s="204"/>
      <c r="J3" s="205"/>
    </row>
    <row r="4" spans="2:10" ht="21.5" thickBot="1" x14ac:dyDescent="0.4">
      <c r="B4" s="206" t="s">
        <v>1</v>
      </c>
      <c r="C4" s="207"/>
      <c r="D4" s="207"/>
      <c r="E4" s="207"/>
      <c r="F4" s="207"/>
      <c r="G4" s="207"/>
      <c r="H4" s="207"/>
      <c r="I4" s="207"/>
      <c r="J4" s="208"/>
    </row>
    <row r="5" spans="2:10" ht="18.5" x14ac:dyDescent="0.35">
      <c r="B5" s="209" t="s">
        <v>2</v>
      </c>
      <c r="C5" s="210"/>
      <c r="D5" s="210"/>
      <c r="E5" s="210"/>
      <c r="F5" s="210"/>
      <c r="G5" s="210"/>
      <c r="H5" s="210"/>
      <c r="I5" s="210"/>
      <c r="J5" s="211"/>
    </row>
    <row r="6" spans="2:10" ht="18.5" x14ac:dyDescent="0.35">
      <c r="B6" s="212" t="s">
        <v>3</v>
      </c>
      <c r="C6" s="213"/>
      <c r="D6" s="213"/>
      <c r="E6" s="213"/>
      <c r="F6" s="213"/>
      <c r="G6" s="213"/>
      <c r="H6" s="213"/>
      <c r="I6" s="213"/>
      <c r="J6" s="214"/>
    </row>
    <row r="7" spans="2:10" ht="19" thickBot="1" x14ac:dyDescent="0.4">
      <c r="B7" s="215" t="s">
        <v>40</v>
      </c>
      <c r="C7" s="216"/>
      <c r="D7" s="216"/>
      <c r="E7" s="216"/>
      <c r="F7" s="216"/>
      <c r="G7" s="216"/>
      <c r="H7" s="216"/>
      <c r="I7" s="216"/>
      <c r="J7" s="217"/>
    </row>
    <row r="8" spans="2:10" ht="27" customHeight="1" thickBot="1" x14ac:dyDescent="0.4">
      <c r="B8" s="218" t="s">
        <v>4</v>
      </c>
      <c r="C8" s="219"/>
      <c r="D8" s="219"/>
      <c r="E8" s="219"/>
      <c r="F8" s="219"/>
      <c r="G8" s="219"/>
      <c r="H8" s="220"/>
      <c r="I8" s="220"/>
      <c r="J8" s="221"/>
    </row>
    <row r="9" spans="2:10" ht="21.5" thickBot="1" x14ac:dyDescent="0.4">
      <c r="B9" s="51" t="s">
        <v>5</v>
      </c>
      <c r="C9" s="52"/>
      <c r="D9" s="52"/>
      <c r="E9" s="52"/>
      <c r="F9" s="52"/>
      <c r="G9" s="53"/>
      <c r="H9" s="222" t="s">
        <v>6</v>
      </c>
      <c r="I9" s="222"/>
      <c r="J9" s="223"/>
    </row>
    <row r="10" spans="2:10" ht="21" x14ac:dyDescent="0.35">
      <c r="B10" s="84" t="s">
        <v>47</v>
      </c>
      <c r="C10" s="89"/>
      <c r="D10" s="89"/>
      <c r="E10" s="89"/>
      <c r="F10" s="89"/>
      <c r="G10" s="47"/>
      <c r="H10" s="84" t="s">
        <v>47</v>
      </c>
      <c r="I10" s="4"/>
      <c r="J10" s="5"/>
    </row>
    <row r="11" spans="2:10" ht="21" x14ac:dyDescent="0.35">
      <c r="B11" s="84" t="s">
        <v>48</v>
      </c>
      <c r="C11" s="89"/>
      <c r="D11" s="89"/>
      <c r="E11" s="90"/>
      <c r="F11" s="91"/>
      <c r="G11" s="47"/>
      <c r="H11" s="84" t="s">
        <v>48</v>
      </c>
      <c r="I11" s="92"/>
      <c r="J11" s="23"/>
    </row>
    <row r="12" spans="2:10" ht="21" x14ac:dyDescent="0.35">
      <c r="B12" s="84" t="s">
        <v>50</v>
      </c>
      <c r="C12" s="89"/>
      <c r="D12" s="89"/>
      <c r="E12" s="90"/>
      <c r="F12" s="91"/>
      <c r="G12" s="47"/>
      <c r="H12" s="84" t="s">
        <v>50</v>
      </c>
      <c r="I12" s="92"/>
      <c r="J12" s="23"/>
    </row>
    <row r="13" spans="2:10" ht="21" x14ac:dyDescent="0.35">
      <c r="B13" s="84" t="s">
        <v>51</v>
      </c>
      <c r="C13" s="89"/>
      <c r="D13" s="89"/>
      <c r="E13" s="90"/>
      <c r="F13" s="91"/>
      <c r="G13" s="47"/>
      <c r="H13" s="84" t="s">
        <v>51</v>
      </c>
      <c r="I13" s="92"/>
      <c r="J13" s="23"/>
    </row>
    <row r="14" spans="2:10" ht="21" x14ac:dyDescent="0.35">
      <c r="B14" s="84" t="s">
        <v>49</v>
      </c>
      <c r="C14" s="89"/>
      <c r="D14" s="89"/>
      <c r="E14" s="90"/>
      <c r="F14" s="91"/>
      <c r="G14" s="47"/>
      <c r="H14" s="84" t="s">
        <v>49</v>
      </c>
      <c r="I14" s="92"/>
      <c r="J14" s="23"/>
    </row>
    <row r="15" spans="2:10" ht="21.5" thickBot="1" x14ac:dyDescent="0.4">
      <c r="B15" s="84" t="s">
        <v>52</v>
      </c>
      <c r="C15" s="89"/>
      <c r="D15" s="89"/>
      <c r="E15" s="90"/>
      <c r="F15" s="91"/>
      <c r="G15" s="47"/>
      <c r="H15" s="84" t="s">
        <v>52</v>
      </c>
      <c r="I15" s="92"/>
      <c r="J15" s="23"/>
    </row>
    <row r="16" spans="2:10" ht="21.5" thickBot="1" x14ac:dyDescent="0.4">
      <c r="B16" s="49"/>
      <c r="C16" s="50"/>
      <c r="D16" s="50"/>
      <c r="E16" s="24"/>
      <c r="F16" s="25"/>
      <c r="G16" s="48"/>
      <c r="H16" s="224" t="s">
        <v>53</v>
      </c>
      <c r="I16" s="225"/>
      <c r="J16" s="226"/>
    </row>
    <row r="17" spans="2:12" ht="12" customHeight="1" thickBot="1" x14ac:dyDescent="0.4">
      <c r="B17" s="227"/>
      <c r="C17" s="228"/>
      <c r="D17" s="228"/>
      <c r="E17" s="228"/>
      <c r="F17" s="228"/>
      <c r="G17" s="228"/>
      <c r="H17" s="198"/>
      <c r="I17" s="198"/>
      <c r="J17" s="199"/>
    </row>
    <row r="18" spans="2:12" ht="21.5" thickBot="1" x14ac:dyDescent="0.4">
      <c r="B18" s="190" t="s">
        <v>7</v>
      </c>
      <c r="C18" s="191"/>
      <c r="D18" s="191"/>
      <c r="E18" s="191"/>
      <c r="F18" s="191"/>
      <c r="G18" s="192"/>
      <c r="H18" s="191" t="s">
        <v>8</v>
      </c>
      <c r="I18" s="191"/>
      <c r="J18" s="192"/>
    </row>
    <row r="19" spans="2:12" ht="21.5" thickBot="1" x14ac:dyDescent="0.4">
      <c r="B19" s="190" t="s">
        <v>9</v>
      </c>
      <c r="C19" s="191"/>
      <c r="D19" s="192"/>
      <c r="E19" s="198"/>
      <c r="F19" s="198"/>
      <c r="G19" s="199"/>
      <c r="H19" s="191" t="s">
        <v>10</v>
      </c>
      <c r="I19" s="191"/>
      <c r="J19" s="192"/>
    </row>
    <row r="20" spans="2:12" ht="21.5" thickBot="1" x14ac:dyDescent="0.4">
      <c r="B20" s="187" t="s">
        <v>54</v>
      </c>
      <c r="C20" s="188"/>
      <c r="D20" s="189"/>
      <c r="E20" s="196" t="s">
        <v>55</v>
      </c>
      <c r="F20" s="196"/>
      <c r="G20" s="196"/>
      <c r="H20" s="196"/>
      <c r="I20" s="196"/>
      <c r="J20" s="197"/>
    </row>
    <row r="21" spans="2:12" ht="32.25" customHeight="1" thickBot="1" x14ac:dyDescent="0.4">
      <c r="B21" s="193" t="s">
        <v>88</v>
      </c>
      <c r="C21" s="194"/>
      <c r="D21" s="194"/>
      <c r="E21" s="194"/>
      <c r="F21" s="194"/>
      <c r="G21" s="194"/>
      <c r="H21" s="194"/>
      <c r="I21" s="194"/>
      <c r="J21" s="195"/>
    </row>
    <row r="22" spans="2:12" ht="18.5" x14ac:dyDescent="0.35">
      <c r="B22" s="171" t="s">
        <v>11</v>
      </c>
      <c r="C22" s="1" t="s">
        <v>12</v>
      </c>
      <c r="D22" s="66" t="s">
        <v>13</v>
      </c>
      <c r="E22" s="61" t="s">
        <v>39</v>
      </c>
      <c r="F22" s="60" t="s">
        <v>14</v>
      </c>
      <c r="G22" s="62" t="s">
        <v>42</v>
      </c>
      <c r="H22" s="59" t="s">
        <v>15</v>
      </c>
      <c r="I22" s="59" t="s">
        <v>44</v>
      </c>
      <c r="J22" s="63" t="s">
        <v>16</v>
      </c>
    </row>
    <row r="23" spans="2:12" ht="18.5" x14ac:dyDescent="0.35">
      <c r="B23" s="172"/>
      <c r="C23" s="69" t="s">
        <v>17</v>
      </c>
      <c r="D23" s="82" t="s">
        <v>19</v>
      </c>
      <c r="E23" s="70" t="s">
        <v>19</v>
      </c>
      <c r="F23" s="74" t="s">
        <v>17</v>
      </c>
      <c r="G23" s="74" t="s">
        <v>18</v>
      </c>
      <c r="H23" s="73" t="s">
        <v>20</v>
      </c>
      <c r="I23" s="73" t="s">
        <v>21</v>
      </c>
      <c r="J23" s="72" t="s">
        <v>22</v>
      </c>
    </row>
    <row r="24" spans="2:12" ht="15.5" x14ac:dyDescent="0.35">
      <c r="B24" s="93" t="s">
        <v>56</v>
      </c>
      <c r="C24" s="76">
        <v>210</v>
      </c>
      <c r="D24" s="79">
        <v>19.05</v>
      </c>
      <c r="E24" s="79">
        <v>1.5</v>
      </c>
      <c r="F24" s="75" t="s">
        <v>41</v>
      </c>
      <c r="G24" s="80">
        <v>0.65154374999999998</v>
      </c>
      <c r="H24" s="79">
        <f>C24*G24</f>
        <v>136.82418749999999</v>
      </c>
      <c r="I24" s="78">
        <v>2.39</v>
      </c>
      <c r="J24" s="94">
        <f t="shared" ref="J24:J44" si="0">I24*C24</f>
        <v>501.90000000000003</v>
      </c>
      <c r="L24" s="83">
        <v>2.39</v>
      </c>
    </row>
    <row r="25" spans="2:12" ht="15.5" x14ac:dyDescent="0.35">
      <c r="B25" s="93" t="s">
        <v>56</v>
      </c>
      <c r="C25" s="76">
        <v>1500</v>
      </c>
      <c r="D25" s="79">
        <v>25.4</v>
      </c>
      <c r="E25" s="79">
        <v>1.5</v>
      </c>
      <c r="F25" s="75" t="s">
        <v>41</v>
      </c>
      <c r="G25" s="80">
        <v>0.8872874999999999</v>
      </c>
      <c r="H25" s="79">
        <f t="shared" ref="H25:H44" si="1">C25*G25</f>
        <v>1330.9312499999999</v>
      </c>
      <c r="I25" s="78">
        <v>3.25</v>
      </c>
      <c r="J25" s="94">
        <f t="shared" si="0"/>
        <v>4875</v>
      </c>
      <c r="L25" s="83">
        <v>3.25</v>
      </c>
    </row>
    <row r="26" spans="2:12" ht="18" customHeight="1" x14ac:dyDescent="0.35">
      <c r="B26" s="93" t="s">
        <v>56</v>
      </c>
      <c r="C26" s="76">
        <v>270</v>
      </c>
      <c r="D26" s="80">
        <v>31.75</v>
      </c>
      <c r="E26" s="80">
        <v>1.5</v>
      </c>
      <c r="F26" s="75" t="s">
        <v>41</v>
      </c>
      <c r="G26" s="80">
        <v>1.1230312500000001</v>
      </c>
      <c r="H26" s="79">
        <f t="shared" si="1"/>
        <v>303.21843750000005</v>
      </c>
      <c r="I26" s="77">
        <v>4.12</v>
      </c>
      <c r="J26" s="94">
        <f t="shared" si="0"/>
        <v>1112.4000000000001</v>
      </c>
      <c r="L26" s="83">
        <v>4.12</v>
      </c>
    </row>
    <row r="27" spans="2:12" ht="18" customHeight="1" x14ac:dyDescent="0.35">
      <c r="B27" s="93" t="s">
        <v>56</v>
      </c>
      <c r="C27" s="76">
        <v>1860</v>
      </c>
      <c r="D27" s="80">
        <v>38.1</v>
      </c>
      <c r="E27" s="80">
        <v>1.5</v>
      </c>
      <c r="F27" s="75" t="s">
        <v>41</v>
      </c>
      <c r="G27" s="80">
        <v>1.3587750000000003</v>
      </c>
      <c r="H27" s="79">
        <f t="shared" si="1"/>
        <v>2527.3215000000005</v>
      </c>
      <c r="I27" s="77">
        <v>4.9800000000000004</v>
      </c>
      <c r="J27" s="94">
        <f t="shared" si="0"/>
        <v>9262.8000000000011</v>
      </c>
      <c r="L27" s="83">
        <v>4.9800000000000004</v>
      </c>
    </row>
    <row r="28" spans="2:12" ht="18" customHeight="1" x14ac:dyDescent="0.35">
      <c r="B28" s="93" t="s">
        <v>56</v>
      </c>
      <c r="C28" s="76">
        <v>4800</v>
      </c>
      <c r="D28" s="80">
        <v>50.8</v>
      </c>
      <c r="E28" s="80">
        <v>1.5</v>
      </c>
      <c r="F28" s="75" t="s">
        <v>41</v>
      </c>
      <c r="G28" s="80">
        <v>1.8302624999999999</v>
      </c>
      <c r="H28" s="79">
        <f t="shared" si="1"/>
        <v>8785.26</v>
      </c>
      <c r="I28" s="77">
        <v>6.71</v>
      </c>
      <c r="J28" s="94">
        <f t="shared" si="0"/>
        <v>32208</v>
      </c>
      <c r="L28" s="83">
        <v>6.71</v>
      </c>
    </row>
    <row r="29" spans="2:12" ht="18" customHeight="1" x14ac:dyDescent="0.35">
      <c r="B29" s="93" t="s">
        <v>56</v>
      </c>
      <c r="C29" s="76">
        <v>210</v>
      </c>
      <c r="D29" s="80">
        <v>63.5</v>
      </c>
      <c r="E29" s="80">
        <v>1.5</v>
      </c>
      <c r="F29" s="75" t="s">
        <v>41</v>
      </c>
      <c r="G29" s="80">
        <v>2.3017500000000002</v>
      </c>
      <c r="H29" s="79">
        <f t="shared" si="1"/>
        <v>483.36750000000006</v>
      </c>
      <c r="I29" s="77">
        <v>8.44</v>
      </c>
      <c r="J29" s="94">
        <f t="shared" si="0"/>
        <v>1772.3999999999999</v>
      </c>
      <c r="L29" s="83">
        <v>8.44</v>
      </c>
    </row>
    <row r="30" spans="2:12" ht="18" customHeight="1" x14ac:dyDescent="0.35">
      <c r="B30" s="93" t="s">
        <v>56</v>
      </c>
      <c r="C30" s="76">
        <v>480</v>
      </c>
      <c r="D30" s="80">
        <v>76.2</v>
      </c>
      <c r="E30" s="80">
        <v>1.5</v>
      </c>
      <c r="F30" s="75" t="s">
        <v>41</v>
      </c>
      <c r="G30" s="80">
        <v>2.7732375000000005</v>
      </c>
      <c r="H30" s="79">
        <f t="shared" si="1"/>
        <v>1331.1540000000002</v>
      </c>
      <c r="I30" s="77">
        <v>10.17</v>
      </c>
      <c r="J30" s="94">
        <f t="shared" si="0"/>
        <v>4881.6000000000004</v>
      </c>
      <c r="L30" s="83">
        <v>10.17</v>
      </c>
    </row>
    <row r="31" spans="2:12" ht="18" customHeight="1" x14ac:dyDescent="0.35">
      <c r="B31" s="93" t="s">
        <v>56</v>
      </c>
      <c r="C31" s="76">
        <v>780</v>
      </c>
      <c r="D31" s="80">
        <v>76.2</v>
      </c>
      <c r="E31" s="80">
        <v>2</v>
      </c>
      <c r="F31" s="75" t="s">
        <v>41</v>
      </c>
      <c r="G31" s="80">
        <v>3.6729000000000003</v>
      </c>
      <c r="H31" s="79">
        <f t="shared" si="1"/>
        <v>2864.8620000000001</v>
      </c>
      <c r="I31" s="77">
        <v>13.47</v>
      </c>
      <c r="J31" s="95">
        <f t="shared" si="0"/>
        <v>10506.6</v>
      </c>
      <c r="L31" s="83">
        <v>13.47</v>
      </c>
    </row>
    <row r="32" spans="2:12" ht="18" customHeight="1" x14ac:dyDescent="0.35">
      <c r="B32" s="93" t="s">
        <v>56</v>
      </c>
      <c r="C32" s="76">
        <v>210</v>
      </c>
      <c r="D32" s="80">
        <v>101.6</v>
      </c>
      <c r="E32" s="80">
        <v>1.5</v>
      </c>
      <c r="F32" s="75" t="s">
        <v>41</v>
      </c>
      <c r="G32" s="80">
        <v>3.7162124999999997</v>
      </c>
      <c r="H32" s="79">
        <f t="shared" si="1"/>
        <v>780.4046249999999</v>
      </c>
      <c r="I32" s="77">
        <v>13.63</v>
      </c>
      <c r="J32" s="36">
        <f t="shared" si="0"/>
        <v>2862.3</v>
      </c>
      <c r="L32" s="83">
        <v>13.63</v>
      </c>
    </row>
    <row r="33" spans="2:12" ht="18" customHeight="1" x14ac:dyDescent="0.35">
      <c r="B33" s="93" t="s">
        <v>56</v>
      </c>
      <c r="C33" s="76">
        <v>510</v>
      </c>
      <c r="D33" s="80">
        <v>101.6</v>
      </c>
      <c r="E33" s="80">
        <v>2</v>
      </c>
      <c r="F33" s="75" t="s">
        <v>41</v>
      </c>
      <c r="G33" s="80">
        <v>4.9302000000000001</v>
      </c>
      <c r="H33" s="79">
        <f t="shared" si="1"/>
        <v>2514.402</v>
      </c>
      <c r="I33" s="77">
        <v>18.079999999999998</v>
      </c>
      <c r="J33" s="94">
        <f t="shared" si="0"/>
        <v>9220.7999999999993</v>
      </c>
      <c r="L33" s="83">
        <v>18.079999999999998</v>
      </c>
    </row>
    <row r="34" spans="2:12" ht="18" customHeight="1" x14ac:dyDescent="0.35">
      <c r="B34" s="93" t="s">
        <v>56</v>
      </c>
      <c r="C34" s="76">
        <v>90</v>
      </c>
      <c r="D34" s="80">
        <v>127</v>
      </c>
      <c r="E34" s="80">
        <v>2</v>
      </c>
      <c r="F34" s="75" t="s">
        <v>41</v>
      </c>
      <c r="G34" s="80">
        <v>6.1875</v>
      </c>
      <c r="H34" s="79">
        <f t="shared" si="1"/>
        <v>556.875</v>
      </c>
      <c r="I34" s="77">
        <v>24.52</v>
      </c>
      <c r="J34" s="94">
        <f t="shared" si="0"/>
        <v>2206.8000000000002</v>
      </c>
      <c r="L34" s="83">
        <v>24.52</v>
      </c>
    </row>
    <row r="35" spans="2:12" ht="18" customHeight="1" x14ac:dyDescent="0.35">
      <c r="B35" s="93" t="s">
        <v>56</v>
      </c>
      <c r="C35" s="76">
        <v>210</v>
      </c>
      <c r="D35" s="80">
        <v>152.4</v>
      </c>
      <c r="E35" s="80">
        <v>2</v>
      </c>
      <c r="F35" s="75" t="s">
        <v>41</v>
      </c>
      <c r="G35" s="80">
        <v>7.4448000000000008</v>
      </c>
      <c r="H35" s="79">
        <f t="shared" si="1"/>
        <v>1563.4080000000001</v>
      </c>
      <c r="I35" s="77">
        <v>29.5</v>
      </c>
      <c r="J35" s="94">
        <f t="shared" si="0"/>
        <v>6195</v>
      </c>
      <c r="L35" s="83">
        <v>29.5</v>
      </c>
    </row>
    <row r="36" spans="2:12" ht="18" customHeight="1" x14ac:dyDescent="0.35">
      <c r="B36" s="93" t="s">
        <v>56</v>
      </c>
      <c r="C36" s="76">
        <v>120</v>
      </c>
      <c r="D36" s="80">
        <v>25.4</v>
      </c>
      <c r="E36" s="80">
        <v>2</v>
      </c>
      <c r="F36" s="75" t="s">
        <v>41</v>
      </c>
      <c r="G36" s="80">
        <v>1.583</v>
      </c>
      <c r="H36" s="79">
        <f t="shared" si="1"/>
        <v>189.96</v>
      </c>
      <c r="I36" s="77">
        <v>4.21</v>
      </c>
      <c r="J36" s="94">
        <f t="shared" si="0"/>
        <v>505.2</v>
      </c>
      <c r="L36" s="83">
        <v>0</v>
      </c>
    </row>
    <row r="37" spans="2:12" ht="18" customHeight="1" x14ac:dyDescent="0.35">
      <c r="B37" s="93" t="s">
        <v>56</v>
      </c>
      <c r="C37" s="76">
        <v>180</v>
      </c>
      <c r="D37" s="80">
        <v>38.1</v>
      </c>
      <c r="E37" s="80">
        <v>2</v>
      </c>
      <c r="F37" s="75" t="s">
        <v>41</v>
      </c>
      <c r="G37" s="80">
        <v>1.7869999999999999</v>
      </c>
      <c r="H37" s="79">
        <f t="shared" si="1"/>
        <v>321.65999999999997</v>
      </c>
      <c r="I37" s="77">
        <v>6.49</v>
      </c>
      <c r="J37" s="94">
        <f t="shared" si="0"/>
        <v>1168.2</v>
      </c>
      <c r="L37" s="83">
        <v>0</v>
      </c>
    </row>
    <row r="38" spans="2:12" ht="18" customHeight="1" x14ac:dyDescent="0.35">
      <c r="B38" s="93" t="s">
        <v>56</v>
      </c>
      <c r="C38" s="76">
        <v>180</v>
      </c>
      <c r="D38" s="80">
        <v>50.8</v>
      </c>
      <c r="E38" s="80">
        <v>2</v>
      </c>
      <c r="F38" s="75" t="s">
        <v>41</v>
      </c>
      <c r="G38" s="80">
        <v>2.4156</v>
      </c>
      <c r="H38" s="79">
        <f t="shared" si="1"/>
        <v>434.80799999999999</v>
      </c>
      <c r="I38" s="77">
        <v>8.76</v>
      </c>
      <c r="J38" s="94">
        <f t="shared" si="0"/>
        <v>1576.8</v>
      </c>
      <c r="L38" s="83">
        <v>0</v>
      </c>
    </row>
    <row r="39" spans="2:12" ht="18" customHeight="1" x14ac:dyDescent="0.35">
      <c r="B39" s="93" t="s">
        <v>56</v>
      </c>
      <c r="C39" s="76">
        <v>270</v>
      </c>
      <c r="D39" s="80">
        <v>76.2</v>
      </c>
      <c r="E39" s="80">
        <v>1.5</v>
      </c>
      <c r="F39" s="75" t="s">
        <v>41</v>
      </c>
      <c r="G39" s="80">
        <v>2.7732000000000001</v>
      </c>
      <c r="H39" s="79">
        <f t="shared" si="1"/>
        <v>748.76400000000001</v>
      </c>
      <c r="I39" s="77">
        <v>10.17</v>
      </c>
      <c r="J39" s="94">
        <f t="shared" si="0"/>
        <v>2745.9</v>
      </c>
      <c r="L39" s="83">
        <v>10.17</v>
      </c>
    </row>
    <row r="40" spans="2:12" ht="18" customHeight="1" x14ac:dyDescent="0.35">
      <c r="B40" s="93" t="s">
        <v>56</v>
      </c>
      <c r="C40" s="76">
        <v>240</v>
      </c>
      <c r="D40" s="80">
        <v>101.6</v>
      </c>
      <c r="E40" s="80">
        <v>1.5</v>
      </c>
      <c r="F40" s="75" t="s">
        <v>41</v>
      </c>
      <c r="G40" s="80">
        <v>3.7162000000000002</v>
      </c>
      <c r="H40" s="79">
        <f t="shared" si="1"/>
        <v>891.88800000000003</v>
      </c>
      <c r="I40" s="77">
        <v>13.63</v>
      </c>
      <c r="J40" s="94">
        <f t="shared" si="0"/>
        <v>3271.2000000000003</v>
      </c>
      <c r="L40" s="83">
        <v>13.63</v>
      </c>
    </row>
    <row r="41" spans="2:12" ht="18" customHeight="1" x14ac:dyDescent="0.35">
      <c r="B41" s="93" t="s">
        <v>56</v>
      </c>
      <c r="C41" s="76">
        <v>210</v>
      </c>
      <c r="D41" s="81">
        <v>12.7</v>
      </c>
      <c r="E41" s="81">
        <v>1.5</v>
      </c>
      <c r="F41" s="75" t="s">
        <v>41</v>
      </c>
      <c r="G41" s="80">
        <v>4.7161999999999997</v>
      </c>
      <c r="H41" s="79">
        <f t="shared" si="1"/>
        <v>990.40199999999993</v>
      </c>
      <c r="I41" s="77">
        <v>1.55</v>
      </c>
      <c r="J41" s="94">
        <f t="shared" si="0"/>
        <v>325.5</v>
      </c>
      <c r="L41" s="83">
        <v>1.55</v>
      </c>
    </row>
    <row r="42" spans="2:12" ht="18" customHeight="1" x14ac:dyDescent="0.35">
      <c r="B42" s="93" t="s">
        <v>56</v>
      </c>
      <c r="C42" s="76">
        <v>120</v>
      </c>
      <c r="D42" s="80">
        <v>25.4</v>
      </c>
      <c r="E42" s="80">
        <v>2</v>
      </c>
      <c r="F42" s="75" t="s">
        <v>41</v>
      </c>
      <c r="G42" s="76">
        <v>1.583</v>
      </c>
      <c r="H42" s="79">
        <f t="shared" si="1"/>
        <v>189.96</v>
      </c>
      <c r="I42" s="77">
        <v>4.21</v>
      </c>
      <c r="J42" s="94">
        <f t="shared" si="0"/>
        <v>505.2</v>
      </c>
      <c r="L42" s="83">
        <v>4.21</v>
      </c>
    </row>
    <row r="43" spans="2:12" ht="18" customHeight="1" x14ac:dyDescent="0.35">
      <c r="B43" s="93" t="s">
        <v>56</v>
      </c>
      <c r="C43" s="76">
        <v>180</v>
      </c>
      <c r="D43" s="80">
        <v>38.1</v>
      </c>
      <c r="E43" s="80">
        <v>2</v>
      </c>
      <c r="F43" s="75" t="s">
        <v>41</v>
      </c>
      <c r="G43" s="76">
        <v>1.7869999999999999</v>
      </c>
      <c r="H43" s="79">
        <f t="shared" si="1"/>
        <v>321.65999999999997</v>
      </c>
      <c r="I43" s="77">
        <v>6.49</v>
      </c>
      <c r="J43" s="94">
        <f t="shared" si="0"/>
        <v>1168.2</v>
      </c>
      <c r="L43" s="83">
        <v>6.49</v>
      </c>
    </row>
    <row r="44" spans="2:12" ht="18" customHeight="1" x14ac:dyDescent="0.35">
      <c r="B44" s="93" t="s">
        <v>56</v>
      </c>
      <c r="C44" s="76">
        <v>180</v>
      </c>
      <c r="D44" s="80">
        <v>50.8</v>
      </c>
      <c r="E44" s="80">
        <v>2</v>
      </c>
      <c r="F44" s="75" t="s">
        <v>41</v>
      </c>
      <c r="G44" s="76">
        <v>2.4156</v>
      </c>
      <c r="H44" s="79">
        <f t="shared" si="1"/>
        <v>434.80799999999999</v>
      </c>
      <c r="I44" s="77">
        <v>8.76</v>
      </c>
      <c r="J44" s="94">
        <f t="shared" si="0"/>
        <v>1576.8</v>
      </c>
      <c r="L44" s="83">
        <v>8.76</v>
      </c>
    </row>
    <row r="45" spans="2:12" ht="16" thickBot="1" x14ac:dyDescent="0.4">
      <c r="B45" s="64"/>
      <c r="C45" s="68"/>
      <c r="D45" s="67"/>
      <c r="E45" s="33"/>
      <c r="F45" s="34"/>
      <c r="G45" s="26"/>
      <c r="H45" s="46"/>
      <c r="I45" s="35"/>
      <c r="J45" s="36"/>
    </row>
    <row r="46" spans="2:12" ht="19" thickBot="1" x14ac:dyDescent="0.5">
      <c r="B46" s="27" t="s">
        <v>23</v>
      </c>
      <c r="C46" s="37">
        <f>SUM(C24:C45)</f>
        <v>12810</v>
      </c>
      <c r="D46" s="29"/>
      <c r="E46" s="28"/>
      <c r="F46" s="30"/>
      <c r="G46" s="28"/>
      <c r="H46" s="28">
        <f>SUM(H24:H45)</f>
        <v>27701.938499999993</v>
      </c>
      <c r="I46" s="31"/>
      <c r="J46" s="32">
        <f>SUM(J24:J45)</f>
        <v>98448.599999999991</v>
      </c>
    </row>
    <row r="47" spans="2:12" ht="17.5" thickBot="1" x14ac:dyDescent="0.4">
      <c r="B47" s="168" t="s">
        <v>58</v>
      </c>
      <c r="C47" s="169"/>
      <c r="D47" s="169"/>
      <c r="E47" s="169"/>
      <c r="F47" s="169"/>
      <c r="G47" s="169"/>
      <c r="H47" s="169"/>
      <c r="I47" s="169"/>
      <c r="J47" s="170"/>
    </row>
    <row r="48" spans="2:12" ht="18.5" x14ac:dyDescent="0.35">
      <c r="B48" s="171" t="s">
        <v>11</v>
      </c>
      <c r="C48" s="61" t="s">
        <v>12</v>
      </c>
      <c r="D48" s="61" t="s">
        <v>13</v>
      </c>
      <c r="E48" s="61" t="s">
        <v>39</v>
      </c>
      <c r="F48" s="60" t="s">
        <v>14</v>
      </c>
      <c r="G48" s="62" t="s">
        <v>42</v>
      </c>
      <c r="H48" s="59" t="s">
        <v>15</v>
      </c>
      <c r="I48" s="59" t="s">
        <v>44</v>
      </c>
      <c r="J48" s="63" t="s">
        <v>16</v>
      </c>
    </row>
    <row r="49" spans="2:13" ht="18.5" x14ac:dyDescent="0.35">
      <c r="B49" s="172"/>
      <c r="C49" s="69" t="s">
        <v>17</v>
      </c>
      <c r="D49" s="70" t="s">
        <v>19</v>
      </c>
      <c r="E49" s="70" t="s">
        <v>19</v>
      </c>
      <c r="F49" s="71" t="s">
        <v>17</v>
      </c>
      <c r="G49" s="71" t="s">
        <v>18</v>
      </c>
      <c r="H49" s="70" t="s">
        <v>20</v>
      </c>
      <c r="I49" s="70" t="s">
        <v>21</v>
      </c>
      <c r="J49" s="72" t="s">
        <v>22</v>
      </c>
    </row>
    <row r="50" spans="2:13" ht="15.5" x14ac:dyDescent="0.35">
      <c r="B50" s="85" t="s">
        <v>57</v>
      </c>
      <c r="C50" s="76">
        <v>990</v>
      </c>
      <c r="D50" s="80">
        <v>9.52</v>
      </c>
      <c r="E50" s="86">
        <v>1.2</v>
      </c>
      <c r="F50" s="75" t="s">
        <v>41</v>
      </c>
      <c r="G50" s="80">
        <v>0.24725250000000001</v>
      </c>
      <c r="H50" s="80">
        <f>G50*C50</f>
        <v>244.77997500000001</v>
      </c>
      <c r="I50" s="77">
        <v>0.73</v>
      </c>
      <c r="J50" s="87">
        <f>I50*C50</f>
        <v>722.69999999999993</v>
      </c>
      <c r="L50" t="s">
        <v>59</v>
      </c>
      <c r="M50" s="83">
        <v>0.73</v>
      </c>
    </row>
    <row r="51" spans="2:13" ht="15.5" x14ac:dyDescent="0.35">
      <c r="B51" s="85" t="s">
        <v>57</v>
      </c>
      <c r="C51" s="76">
        <v>2952</v>
      </c>
      <c r="D51" s="80">
        <v>12.7</v>
      </c>
      <c r="E51" s="86">
        <v>1.2</v>
      </c>
      <c r="F51" s="75" t="s">
        <v>41</v>
      </c>
      <c r="G51" s="80">
        <v>0.34154999999999996</v>
      </c>
      <c r="H51" s="80">
        <f t="shared" ref="H51:H73" si="2">G51*C51</f>
        <v>1008.2555999999998</v>
      </c>
      <c r="I51" s="77">
        <v>0.89</v>
      </c>
      <c r="J51" s="87">
        <f>C51*I51</f>
        <v>2627.28</v>
      </c>
      <c r="L51" t="s">
        <v>60</v>
      </c>
      <c r="M51" s="83">
        <v>0.89</v>
      </c>
    </row>
    <row r="52" spans="2:13" ht="15.5" x14ac:dyDescent="0.35">
      <c r="B52" s="85" t="s">
        <v>57</v>
      </c>
      <c r="C52" s="76">
        <v>570</v>
      </c>
      <c r="D52" s="80">
        <v>15.87</v>
      </c>
      <c r="E52" s="86">
        <v>1.2</v>
      </c>
      <c r="F52" s="75" t="s">
        <v>41</v>
      </c>
      <c r="G52" s="80">
        <v>0.4358475</v>
      </c>
      <c r="H52" s="80">
        <f t="shared" si="2"/>
        <v>248.433075</v>
      </c>
      <c r="I52" s="77">
        <v>1.1399999999999999</v>
      </c>
      <c r="J52" s="87">
        <f t="shared" ref="J52:J73" si="3">I52*C52</f>
        <v>649.79999999999995</v>
      </c>
      <c r="L52" t="s">
        <v>61</v>
      </c>
      <c r="M52" s="83">
        <v>1.1399999999999999</v>
      </c>
    </row>
    <row r="53" spans="2:13" ht="15.5" x14ac:dyDescent="0.35">
      <c r="B53" s="85" t="s">
        <v>57</v>
      </c>
      <c r="C53" s="76">
        <v>1896</v>
      </c>
      <c r="D53" s="80">
        <v>19.05</v>
      </c>
      <c r="E53" s="86">
        <v>1.2</v>
      </c>
      <c r="F53" s="75" t="s">
        <v>41</v>
      </c>
      <c r="G53" s="80">
        <v>0.53014500000000009</v>
      </c>
      <c r="H53" s="80">
        <f t="shared" si="2"/>
        <v>1005.1549200000002</v>
      </c>
      <c r="I53" s="77">
        <v>1.36</v>
      </c>
      <c r="J53" s="87">
        <f t="shared" si="3"/>
        <v>2578.5600000000004</v>
      </c>
      <c r="L53" t="s">
        <v>62</v>
      </c>
      <c r="M53" s="83">
        <v>1.36</v>
      </c>
    </row>
    <row r="54" spans="2:13" ht="15.5" x14ac:dyDescent="0.35">
      <c r="B54" s="85" t="s">
        <v>57</v>
      </c>
      <c r="C54" s="76">
        <v>402</v>
      </c>
      <c r="D54" s="80">
        <v>22.22</v>
      </c>
      <c r="E54" s="86">
        <v>1.2</v>
      </c>
      <c r="F54" s="75" t="s">
        <v>41</v>
      </c>
      <c r="G54" s="80">
        <v>0.62444250000000001</v>
      </c>
      <c r="H54" s="80">
        <f t="shared" si="2"/>
        <v>251.02588500000002</v>
      </c>
      <c r="I54" s="77">
        <v>1.6</v>
      </c>
      <c r="J54" s="87">
        <f t="shared" si="3"/>
        <v>643.20000000000005</v>
      </c>
      <c r="L54" t="s">
        <v>63</v>
      </c>
      <c r="M54" s="83">
        <v>1.6</v>
      </c>
    </row>
    <row r="55" spans="2:13" ht="15.5" x14ac:dyDescent="0.35">
      <c r="B55" s="85" t="s">
        <v>57</v>
      </c>
      <c r="C55" s="76">
        <v>3930</v>
      </c>
      <c r="D55" s="80">
        <v>25.4</v>
      </c>
      <c r="E55" s="86">
        <v>1.2</v>
      </c>
      <c r="F55" s="75" t="s">
        <v>41</v>
      </c>
      <c r="G55" s="80">
        <v>0.71874000000000005</v>
      </c>
      <c r="H55" s="80">
        <f t="shared" si="2"/>
        <v>2824.6482000000001</v>
      </c>
      <c r="I55" s="77">
        <v>1.84</v>
      </c>
      <c r="J55" s="87">
        <f t="shared" si="3"/>
        <v>7231.2000000000007</v>
      </c>
      <c r="L55" t="s">
        <v>64</v>
      </c>
      <c r="M55" s="83">
        <v>1.84</v>
      </c>
    </row>
    <row r="56" spans="2:13" ht="15.5" x14ac:dyDescent="0.35">
      <c r="B56" s="85" t="s">
        <v>57</v>
      </c>
      <c r="C56" s="76">
        <v>1104</v>
      </c>
      <c r="D56" s="80">
        <v>31.75</v>
      </c>
      <c r="E56" s="86">
        <v>1.2</v>
      </c>
      <c r="F56" s="75" t="s">
        <v>41</v>
      </c>
      <c r="G56" s="80">
        <v>0.907335</v>
      </c>
      <c r="H56" s="80">
        <f t="shared" si="2"/>
        <v>1001.69784</v>
      </c>
      <c r="I56" s="77">
        <v>2.33</v>
      </c>
      <c r="J56" s="87">
        <f t="shared" si="3"/>
        <v>2572.3200000000002</v>
      </c>
      <c r="L56" t="s">
        <v>65</v>
      </c>
      <c r="M56" s="83">
        <v>2.33</v>
      </c>
    </row>
    <row r="57" spans="2:13" ht="15.5" x14ac:dyDescent="0.35">
      <c r="B57" s="85" t="s">
        <v>57</v>
      </c>
      <c r="C57" s="76">
        <v>5700</v>
      </c>
      <c r="D57" s="80">
        <v>38.1</v>
      </c>
      <c r="E57" s="86">
        <v>1.2</v>
      </c>
      <c r="F57" s="75" t="s">
        <v>41</v>
      </c>
      <c r="G57" s="80">
        <v>1.0959299999999998</v>
      </c>
      <c r="H57" s="80">
        <f t="shared" si="2"/>
        <v>6246.8009999999995</v>
      </c>
      <c r="I57" s="77">
        <v>2.81</v>
      </c>
      <c r="J57" s="87">
        <f t="shared" si="3"/>
        <v>16017</v>
      </c>
      <c r="L57" t="s">
        <v>66</v>
      </c>
      <c r="M57" s="83">
        <v>2.81</v>
      </c>
    </row>
    <row r="58" spans="2:13" ht="15.5" x14ac:dyDescent="0.35">
      <c r="B58" s="85" t="s">
        <v>57</v>
      </c>
      <c r="C58" s="76">
        <v>5700</v>
      </c>
      <c r="D58" s="80">
        <v>50.8</v>
      </c>
      <c r="E58" s="86">
        <v>1.2</v>
      </c>
      <c r="F58" s="75" t="s">
        <v>41</v>
      </c>
      <c r="G58" s="80">
        <v>1.4731199999999998</v>
      </c>
      <c r="H58" s="80">
        <f t="shared" si="2"/>
        <v>8396.7839999999978</v>
      </c>
      <c r="I58" s="77">
        <v>3.77</v>
      </c>
      <c r="J58" s="87">
        <f t="shared" si="3"/>
        <v>21489</v>
      </c>
      <c r="L58" t="s">
        <v>67</v>
      </c>
      <c r="M58" s="83">
        <v>3.77</v>
      </c>
    </row>
    <row r="59" spans="2:13" ht="15.5" x14ac:dyDescent="0.35">
      <c r="B59" s="85" t="s">
        <v>57</v>
      </c>
      <c r="C59" s="76">
        <v>810</v>
      </c>
      <c r="D59" s="80">
        <v>9.52</v>
      </c>
      <c r="E59" s="86">
        <v>1.5</v>
      </c>
      <c r="F59" s="75" t="s">
        <v>41</v>
      </c>
      <c r="G59" s="80">
        <v>0.29792812500000004</v>
      </c>
      <c r="H59" s="80">
        <f t="shared" si="2"/>
        <v>241.32178125000004</v>
      </c>
      <c r="I59" s="77">
        <v>0.88</v>
      </c>
      <c r="J59" s="87">
        <f t="shared" si="3"/>
        <v>712.8</v>
      </c>
      <c r="L59" t="s">
        <v>68</v>
      </c>
      <c r="M59" s="83">
        <v>0.88</v>
      </c>
    </row>
    <row r="60" spans="2:13" ht="15.5" x14ac:dyDescent="0.35">
      <c r="B60" s="85" t="s">
        <v>57</v>
      </c>
      <c r="C60" s="76">
        <v>4800</v>
      </c>
      <c r="D60" s="80">
        <v>12.7</v>
      </c>
      <c r="E60" s="86">
        <v>1.5</v>
      </c>
      <c r="F60" s="75" t="s">
        <v>41</v>
      </c>
      <c r="G60" s="80">
        <v>0.41579999999999995</v>
      </c>
      <c r="H60" s="80">
        <f t="shared" si="2"/>
        <v>1995.8399999999997</v>
      </c>
      <c r="I60" s="77">
        <v>1.06</v>
      </c>
      <c r="J60" s="87">
        <f t="shared" si="3"/>
        <v>5088</v>
      </c>
      <c r="L60" t="s">
        <v>69</v>
      </c>
      <c r="M60" s="83">
        <v>1.06</v>
      </c>
    </row>
    <row r="61" spans="2:13" ht="15.5" x14ac:dyDescent="0.35">
      <c r="B61" s="85" t="s">
        <v>57</v>
      </c>
      <c r="C61" s="76">
        <v>468</v>
      </c>
      <c r="D61" s="80">
        <v>15.87</v>
      </c>
      <c r="E61" s="86">
        <v>1.5</v>
      </c>
      <c r="F61" s="75" t="s">
        <v>41</v>
      </c>
      <c r="G61" s="80">
        <v>0.53367187500000002</v>
      </c>
      <c r="H61" s="80">
        <f t="shared" si="2"/>
        <v>249.75843750000001</v>
      </c>
      <c r="I61" s="77">
        <v>1.36</v>
      </c>
      <c r="J61" s="87">
        <f t="shared" si="3"/>
        <v>636.48</v>
      </c>
      <c r="L61" t="s">
        <v>70</v>
      </c>
      <c r="M61" s="83">
        <v>1.36</v>
      </c>
    </row>
    <row r="62" spans="2:13" ht="15.5" x14ac:dyDescent="0.35">
      <c r="B62" s="85" t="s">
        <v>57</v>
      </c>
      <c r="C62" s="76">
        <v>7200</v>
      </c>
      <c r="D62" s="80">
        <v>19.05</v>
      </c>
      <c r="E62" s="80">
        <v>1.5</v>
      </c>
      <c r="F62" s="75" t="s">
        <v>41</v>
      </c>
      <c r="G62" s="80">
        <v>0.65154375000000009</v>
      </c>
      <c r="H62" s="80">
        <f t="shared" si="2"/>
        <v>4691.1150000000007</v>
      </c>
      <c r="I62" s="77">
        <v>1.63</v>
      </c>
      <c r="J62" s="87">
        <f t="shared" si="3"/>
        <v>11736</v>
      </c>
      <c r="L62" t="s">
        <v>71</v>
      </c>
      <c r="M62" s="83">
        <v>1.63</v>
      </c>
    </row>
    <row r="63" spans="2:13" ht="15.5" x14ac:dyDescent="0.35">
      <c r="B63" s="85" t="s">
        <v>57</v>
      </c>
      <c r="C63" s="76">
        <v>324</v>
      </c>
      <c r="D63" s="80">
        <v>22.22</v>
      </c>
      <c r="E63" s="80">
        <v>1.5</v>
      </c>
      <c r="F63" s="75" t="s">
        <v>41</v>
      </c>
      <c r="G63" s="80">
        <v>0.76941562500000005</v>
      </c>
      <c r="H63" s="80">
        <f t="shared" si="2"/>
        <v>249.29066250000002</v>
      </c>
      <c r="I63" s="77">
        <v>1.93</v>
      </c>
      <c r="J63" s="87">
        <f t="shared" si="3"/>
        <v>625.31999999999994</v>
      </c>
      <c r="L63" t="s">
        <v>72</v>
      </c>
      <c r="M63" s="83">
        <v>1.93</v>
      </c>
    </row>
    <row r="64" spans="2:13" ht="15.5" x14ac:dyDescent="0.35">
      <c r="B64" s="85" t="s">
        <v>57</v>
      </c>
      <c r="C64" s="76">
        <v>5700</v>
      </c>
      <c r="D64" s="80">
        <v>25.4</v>
      </c>
      <c r="E64" s="80">
        <v>1.5</v>
      </c>
      <c r="F64" s="75" t="s">
        <v>41</v>
      </c>
      <c r="G64" s="80">
        <v>0.8872874999999999</v>
      </c>
      <c r="H64" s="80">
        <f t="shared" si="2"/>
        <v>5057.5387499999997</v>
      </c>
      <c r="I64" s="77">
        <v>2.2200000000000002</v>
      </c>
      <c r="J64" s="87">
        <f t="shared" si="3"/>
        <v>12654.000000000002</v>
      </c>
      <c r="L64" t="s">
        <v>73</v>
      </c>
      <c r="M64" s="83">
        <v>2.2200000000000002</v>
      </c>
    </row>
    <row r="65" spans="2:13" ht="15.5" x14ac:dyDescent="0.35">
      <c r="B65" s="85" t="s">
        <v>57</v>
      </c>
      <c r="C65" s="76">
        <v>1800</v>
      </c>
      <c r="D65" s="80">
        <v>31.75</v>
      </c>
      <c r="E65" s="80">
        <v>1.5</v>
      </c>
      <c r="F65" s="75" t="s">
        <v>41</v>
      </c>
      <c r="G65" s="80">
        <v>1.1230312500000001</v>
      </c>
      <c r="H65" s="80">
        <f t="shared" si="2"/>
        <v>2021.4562500000002</v>
      </c>
      <c r="I65" s="77">
        <v>2.81</v>
      </c>
      <c r="J65" s="87">
        <f t="shared" si="3"/>
        <v>5058</v>
      </c>
      <c r="L65" t="s">
        <v>74</v>
      </c>
      <c r="M65" s="83">
        <v>2.81</v>
      </c>
    </row>
    <row r="66" spans="2:13" ht="15.5" x14ac:dyDescent="0.35">
      <c r="B66" s="85" t="s">
        <v>57</v>
      </c>
      <c r="C66" s="76">
        <v>10500</v>
      </c>
      <c r="D66" s="80">
        <v>38.1</v>
      </c>
      <c r="E66" s="80">
        <v>1.5</v>
      </c>
      <c r="F66" s="75" t="s">
        <v>41</v>
      </c>
      <c r="G66" s="80">
        <v>1.3587750000000003</v>
      </c>
      <c r="H66" s="80">
        <f t="shared" si="2"/>
        <v>14267.137500000003</v>
      </c>
      <c r="I66" s="77">
        <v>3.4</v>
      </c>
      <c r="J66" s="87">
        <f t="shared" si="3"/>
        <v>35700</v>
      </c>
      <c r="L66" t="s">
        <v>75</v>
      </c>
      <c r="M66" s="83">
        <v>3.4</v>
      </c>
    </row>
    <row r="67" spans="2:13" ht="15.5" x14ac:dyDescent="0.35">
      <c r="B67" s="85" t="s">
        <v>57</v>
      </c>
      <c r="C67" s="76">
        <v>14640</v>
      </c>
      <c r="D67" s="80">
        <v>50.8</v>
      </c>
      <c r="E67" s="80">
        <v>1.5</v>
      </c>
      <c r="F67" s="75" t="s">
        <v>41</v>
      </c>
      <c r="G67" s="80">
        <v>1.8302624999999999</v>
      </c>
      <c r="H67" s="80">
        <f t="shared" si="2"/>
        <v>26795.042999999998</v>
      </c>
      <c r="I67" s="77">
        <v>4.57</v>
      </c>
      <c r="J67" s="87">
        <f t="shared" si="3"/>
        <v>66904.800000000003</v>
      </c>
      <c r="L67" t="s">
        <v>76</v>
      </c>
      <c r="M67" s="83">
        <v>4.57</v>
      </c>
    </row>
    <row r="68" spans="2:13" ht="15.5" x14ac:dyDescent="0.35">
      <c r="B68" s="85" t="s">
        <v>57</v>
      </c>
      <c r="C68" s="76">
        <v>864</v>
      </c>
      <c r="D68" s="80">
        <v>63.5</v>
      </c>
      <c r="E68" s="80">
        <v>1.5</v>
      </c>
      <c r="F68" s="75" t="s">
        <v>41</v>
      </c>
      <c r="G68" s="80">
        <v>2.3017500000000002</v>
      </c>
      <c r="H68" s="80">
        <f t="shared" si="2"/>
        <v>1988.7120000000002</v>
      </c>
      <c r="I68" s="77">
        <v>5.74</v>
      </c>
      <c r="J68" s="87">
        <f t="shared" si="3"/>
        <v>4959.3600000000006</v>
      </c>
      <c r="L68" t="s">
        <v>77</v>
      </c>
      <c r="M68" s="83">
        <v>5.74</v>
      </c>
    </row>
    <row r="69" spans="2:13" ht="15.5" x14ac:dyDescent="0.35">
      <c r="B69" s="85" t="s">
        <v>57</v>
      </c>
      <c r="C69" s="76">
        <v>4640</v>
      </c>
      <c r="D69" s="80">
        <v>76.2</v>
      </c>
      <c r="E69" s="80">
        <v>1.5</v>
      </c>
      <c r="F69" s="75" t="s">
        <v>41</v>
      </c>
      <c r="G69" s="80">
        <v>2.7732375000000005</v>
      </c>
      <c r="H69" s="80">
        <f t="shared" si="2"/>
        <v>12867.822000000002</v>
      </c>
      <c r="I69" s="77">
        <v>6.92</v>
      </c>
      <c r="J69" s="87">
        <f t="shared" si="3"/>
        <v>32108.799999999999</v>
      </c>
      <c r="L69" t="s">
        <v>78</v>
      </c>
      <c r="M69" s="83">
        <v>6.92</v>
      </c>
    </row>
    <row r="70" spans="2:13" ht="15.5" x14ac:dyDescent="0.35">
      <c r="B70" s="85" t="s">
        <v>57</v>
      </c>
      <c r="C70" s="76">
        <v>3300</v>
      </c>
      <c r="D70" s="80">
        <v>101.6</v>
      </c>
      <c r="E70" s="80">
        <v>1.5</v>
      </c>
      <c r="F70" s="75" t="s">
        <v>41</v>
      </c>
      <c r="G70" s="80">
        <v>3.7162124999999997</v>
      </c>
      <c r="H70" s="80">
        <f t="shared" si="2"/>
        <v>12263.501249999999</v>
      </c>
      <c r="I70" s="77">
        <v>9.27</v>
      </c>
      <c r="J70" s="87">
        <f t="shared" si="3"/>
        <v>30591</v>
      </c>
      <c r="L70" t="s">
        <v>79</v>
      </c>
      <c r="M70" s="83">
        <v>9.27</v>
      </c>
    </row>
    <row r="71" spans="2:13" ht="15.5" x14ac:dyDescent="0.35">
      <c r="B71" s="85" t="s">
        <v>57</v>
      </c>
      <c r="C71" s="76">
        <v>120</v>
      </c>
      <c r="D71" s="80">
        <v>127</v>
      </c>
      <c r="E71" s="80">
        <v>2</v>
      </c>
      <c r="F71" s="75" t="s">
        <v>41</v>
      </c>
      <c r="G71" s="80">
        <v>6.1870000000000003</v>
      </c>
      <c r="H71" s="80">
        <f t="shared" si="2"/>
        <v>742.44</v>
      </c>
      <c r="I71" s="77">
        <v>18.190000000000001</v>
      </c>
      <c r="J71" s="87">
        <f t="shared" si="3"/>
        <v>2182.8000000000002</v>
      </c>
      <c r="L71" t="s">
        <v>80</v>
      </c>
      <c r="M71" s="83">
        <v>18.190000000000001</v>
      </c>
    </row>
    <row r="72" spans="2:13" ht="15.5" x14ac:dyDescent="0.35">
      <c r="B72" s="85" t="s">
        <v>57</v>
      </c>
      <c r="C72" s="76">
        <v>120</v>
      </c>
      <c r="D72" s="80">
        <v>152.4</v>
      </c>
      <c r="E72" s="86">
        <v>2</v>
      </c>
      <c r="F72" s="75" t="s">
        <v>41</v>
      </c>
      <c r="G72" s="80">
        <v>7.444</v>
      </c>
      <c r="H72" s="80">
        <f t="shared" si="2"/>
        <v>893.28</v>
      </c>
      <c r="I72" s="77">
        <v>21.89</v>
      </c>
      <c r="J72" s="87">
        <f t="shared" si="3"/>
        <v>2626.8</v>
      </c>
      <c r="L72" t="s">
        <v>81</v>
      </c>
      <c r="M72" s="83">
        <v>21.89</v>
      </c>
    </row>
    <row r="73" spans="2:13" ht="15.5" x14ac:dyDescent="0.35">
      <c r="B73" s="85" t="s">
        <v>57</v>
      </c>
      <c r="C73" s="76">
        <v>120</v>
      </c>
      <c r="D73" s="80">
        <v>203.2</v>
      </c>
      <c r="E73" s="86">
        <v>2</v>
      </c>
      <c r="F73" s="75" t="s">
        <v>41</v>
      </c>
      <c r="G73" s="80">
        <v>9.9594000000000005</v>
      </c>
      <c r="H73" s="80">
        <f t="shared" si="2"/>
        <v>1195.1280000000002</v>
      </c>
      <c r="I73" s="77">
        <v>29.28</v>
      </c>
      <c r="J73" s="87">
        <f t="shared" si="3"/>
        <v>3513.6000000000004</v>
      </c>
      <c r="L73" t="s">
        <v>82</v>
      </c>
      <c r="M73" s="83">
        <v>29.28</v>
      </c>
    </row>
    <row r="74" spans="2:13" ht="15" customHeight="1" thickBot="1" x14ac:dyDescent="0.4">
      <c r="B74" s="111"/>
      <c r="C74" s="112"/>
      <c r="D74" s="113"/>
      <c r="E74" s="114"/>
      <c r="F74" s="115"/>
      <c r="G74" s="116"/>
      <c r="H74" s="116"/>
      <c r="I74" s="117"/>
      <c r="J74" s="118"/>
      <c r="M74" s="83"/>
    </row>
    <row r="75" spans="2:13" ht="19" thickBot="1" x14ac:dyDescent="0.5">
      <c r="B75" s="27" t="s">
        <v>23</v>
      </c>
      <c r="C75" s="37">
        <f>SUM(C50:C73)</f>
        <v>78650</v>
      </c>
      <c r="D75" s="29"/>
      <c r="E75" s="28"/>
      <c r="F75" s="30"/>
      <c r="G75" s="28"/>
      <c r="H75" s="28">
        <f>SUM(H50:H74)</f>
        <v>106746.96512625</v>
      </c>
      <c r="I75" s="31"/>
      <c r="J75" s="32">
        <f>SUM(J50:J73)</f>
        <v>269628.81999999995</v>
      </c>
    </row>
    <row r="76" spans="2:13" ht="21.5" thickBot="1" x14ac:dyDescent="0.55000000000000004">
      <c r="B76" s="110" t="s">
        <v>43</v>
      </c>
      <c r="C76" s="38">
        <f>C75+C46</f>
        <v>91460</v>
      </c>
      <c r="D76" s="39"/>
      <c r="E76" s="40"/>
      <c r="F76" s="41"/>
      <c r="G76" s="42"/>
      <c r="H76" s="88">
        <f>H75+H46</f>
        <v>134448.90362624999</v>
      </c>
      <c r="I76" s="43"/>
      <c r="J76" s="44">
        <f>J75+J46</f>
        <v>368077.41999999993</v>
      </c>
    </row>
    <row r="77" spans="2:13" ht="22" thickTop="1" thickBot="1" x14ac:dyDescent="0.55000000000000004">
      <c r="B77" s="22"/>
      <c r="C77" s="96"/>
      <c r="D77" s="97"/>
      <c r="E77" s="98"/>
      <c r="F77" s="99"/>
      <c r="G77" s="100"/>
      <c r="H77" s="101"/>
      <c r="I77" s="54" t="s">
        <v>85</v>
      </c>
      <c r="J77" s="45">
        <f>J76*20%</f>
        <v>73615.483999999982</v>
      </c>
    </row>
    <row r="78" spans="2:13" ht="2.25" customHeight="1" thickBot="1" x14ac:dyDescent="0.4">
      <c r="B78" s="2"/>
      <c r="C78" s="102"/>
      <c r="D78" s="102"/>
      <c r="E78" s="102"/>
      <c r="F78" s="102"/>
      <c r="G78" s="102"/>
      <c r="H78" s="102"/>
      <c r="I78" s="102"/>
      <c r="J78" s="3" t="s">
        <v>18</v>
      </c>
    </row>
    <row r="79" spans="2:13" ht="21.5" thickBot="1" x14ac:dyDescent="0.55000000000000004">
      <c r="B79" s="181" t="s">
        <v>26</v>
      </c>
      <c r="C79" s="182"/>
      <c r="D79" s="182"/>
      <c r="E79" s="183"/>
      <c r="F79" s="184"/>
      <c r="G79" s="185" t="s">
        <v>24</v>
      </c>
      <c r="H79" s="185"/>
      <c r="I79" s="185"/>
      <c r="J79" s="186"/>
    </row>
    <row r="80" spans="2:13" ht="18.5" x14ac:dyDescent="0.45">
      <c r="B80" s="177"/>
      <c r="C80" s="178"/>
      <c r="D80" s="178"/>
      <c r="E80" s="179"/>
      <c r="F80" s="180"/>
      <c r="G80" s="173" t="s">
        <v>25</v>
      </c>
      <c r="H80" s="173"/>
      <c r="I80" s="173"/>
      <c r="J80" s="174"/>
    </row>
    <row r="81" spans="2:10" ht="18.75" customHeight="1" x14ac:dyDescent="0.45">
      <c r="B81" s="157"/>
      <c r="C81" s="158"/>
      <c r="D81" s="158"/>
      <c r="E81" s="159"/>
      <c r="F81" s="160"/>
      <c r="G81" s="175"/>
      <c r="H81" s="175"/>
      <c r="I81" s="175"/>
      <c r="J81" s="176"/>
    </row>
    <row r="82" spans="2:10" ht="18.75" customHeight="1" x14ac:dyDescent="0.45">
      <c r="B82" s="150"/>
      <c r="C82" s="151"/>
      <c r="D82" s="151"/>
      <c r="E82" s="152"/>
      <c r="F82" s="153"/>
      <c r="G82" s="154" t="s">
        <v>31</v>
      </c>
      <c r="H82" s="155"/>
      <c r="I82" s="155"/>
      <c r="J82" s="156"/>
    </row>
    <row r="83" spans="2:10" ht="18.75" customHeight="1" x14ac:dyDescent="0.45">
      <c r="B83" s="157"/>
      <c r="C83" s="158"/>
      <c r="D83" s="158"/>
      <c r="E83" s="159"/>
      <c r="F83" s="160"/>
      <c r="G83" s="229" t="s">
        <v>89</v>
      </c>
      <c r="H83" s="229"/>
      <c r="I83" s="229"/>
      <c r="J83" s="230"/>
    </row>
    <row r="84" spans="2:10" ht="18.75" customHeight="1" x14ac:dyDescent="0.45">
      <c r="B84" s="157"/>
      <c r="C84" s="158"/>
      <c r="D84" s="158"/>
      <c r="E84" s="159"/>
      <c r="F84" s="160"/>
      <c r="G84" s="231"/>
      <c r="H84" s="231"/>
      <c r="I84" s="231"/>
      <c r="J84" s="232"/>
    </row>
    <row r="85" spans="2:10" ht="18.75" customHeight="1" thickBot="1" x14ac:dyDescent="0.5">
      <c r="B85" s="161"/>
      <c r="C85" s="162"/>
      <c r="D85" s="162"/>
      <c r="E85" s="163"/>
      <c r="F85" s="164"/>
      <c r="G85" s="231"/>
      <c r="H85" s="231"/>
      <c r="I85" s="231"/>
      <c r="J85" s="232"/>
    </row>
    <row r="86" spans="2:10" ht="34" customHeight="1" thickBot="1" x14ac:dyDescent="0.4">
      <c r="B86" s="165"/>
      <c r="C86" s="166"/>
      <c r="D86" s="166"/>
      <c r="E86" s="166"/>
      <c r="F86" s="167"/>
      <c r="G86" s="231"/>
      <c r="H86" s="231"/>
      <c r="I86" s="231"/>
      <c r="J86" s="232"/>
    </row>
    <row r="87" spans="2:10" ht="22.5" customHeight="1" thickBot="1" x14ac:dyDescent="0.4">
      <c r="B87" s="119" t="s">
        <v>45</v>
      </c>
      <c r="C87" s="120"/>
      <c r="D87" s="120"/>
      <c r="E87" s="120"/>
      <c r="F87" s="120"/>
      <c r="G87" s="120"/>
      <c r="H87" s="120"/>
      <c r="I87" s="120"/>
      <c r="J87" s="121"/>
    </row>
    <row r="88" spans="2:10" ht="24" customHeight="1" thickBot="1" x14ac:dyDescent="0.4">
      <c r="B88" s="126" t="s">
        <v>27</v>
      </c>
      <c r="C88" s="127"/>
      <c r="D88" s="127"/>
      <c r="E88" s="127"/>
      <c r="F88" s="127"/>
      <c r="G88" s="126" t="s">
        <v>32</v>
      </c>
      <c r="H88" s="127"/>
      <c r="I88" s="127"/>
      <c r="J88" s="128"/>
    </row>
    <row r="89" spans="2:10" ht="18.75" customHeight="1" x14ac:dyDescent="0.35">
      <c r="B89" s="129" t="s">
        <v>33</v>
      </c>
      <c r="C89" s="130"/>
      <c r="D89" s="130"/>
      <c r="E89" s="130"/>
      <c r="F89" s="130"/>
      <c r="G89" s="131" t="s">
        <v>83</v>
      </c>
      <c r="H89" s="132"/>
      <c r="I89" s="132"/>
      <c r="J89" s="133"/>
    </row>
    <row r="90" spans="2:10" ht="18.75" customHeight="1" thickBot="1" x14ac:dyDescent="0.4">
      <c r="B90" s="137" t="s">
        <v>34</v>
      </c>
      <c r="C90" s="138"/>
      <c r="D90" s="138"/>
      <c r="E90" s="138"/>
      <c r="F90" s="138"/>
      <c r="G90" s="134"/>
      <c r="H90" s="135"/>
      <c r="I90" s="135"/>
      <c r="J90" s="136"/>
    </row>
    <row r="91" spans="2:10" ht="18.75" customHeight="1" thickBot="1" x14ac:dyDescent="0.4">
      <c r="B91" s="137" t="s">
        <v>35</v>
      </c>
      <c r="C91" s="138"/>
      <c r="D91" s="138"/>
      <c r="E91" s="138"/>
      <c r="F91" s="138"/>
      <c r="G91" s="139" t="s">
        <v>46</v>
      </c>
      <c r="H91" s="140"/>
      <c r="I91" s="140"/>
      <c r="J91" s="141"/>
    </row>
    <row r="92" spans="2:10" ht="91.5" customHeight="1" thickBot="1" x14ac:dyDescent="0.4">
      <c r="B92" s="148" t="s">
        <v>36</v>
      </c>
      <c r="C92" s="149"/>
      <c r="D92" s="149"/>
      <c r="E92" s="149"/>
      <c r="F92" s="149"/>
      <c r="G92" s="142" t="s">
        <v>87</v>
      </c>
      <c r="H92" s="143"/>
      <c r="I92" s="143"/>
      <c r="J92" s="144"/>
    </row>
    <row r="93" spans="2:10" ht="18.75" customHeight="1" thickBot="1" x14ac:dyDescent="0.4">
      <c r="B93" s="137" t="s">
        <v>37</v>
      </c>
      <c r="C93" s="138"/>
      <c r="D93" s="138"/>
      <c r="E93" s="138"/>
      <c r="F93" s="138"/>
      <c r="G93" s="145" t="s">
        <v>86</v>
      </c>
      <c r="H93" s="146"/>
      <c r="I93" s="146"/>
      <c r="J93" s="147"/>
    </row>
    <row r="94" spans="2:10" ht="18.75" customHeight="1" thickBot="1" x14ac:dyDescent="0.4">
      <c r="B94" s="20"/>
      <c r="C94" s="103"/>
      <c r="D94" s="103"/>
      <c r="E94" s="103"/>
      <c r="F94" s="103"/>
      <c r="G94" s="56" t="s">
        <v>84</v>
      </c>
      <c r="H94" s="57"/>
      <c r="I94" s="57"/>
      <c r="J94" s="58"/>
    </row>
    <row r="95" spans="2:10" ht="18.75" customHeight="1" x14ac:dyDescent="0.35">
      <c r="B95" s="20" t="s">
        <v>28</v>
      </c>
      <c r="C95" s="104"/>
      <c r="D95" s="105"/>
      <c r="E95" s="105"/>
      <c r="F95" s="106"/>
      <c r="G95" s="107"/>
      <c r="H95" s="108"/>
      <c r="I95" s="108"/>
      <c r="J95" s="6"/>
    </row>
    <row r="96" spans="2:10" ht="18.75" customHeight="1" thickBot="1" x14ac:dyDescent="0.4">
      <c r="B96" s="21" t="s">
        <v>29</v>
      </c>
      <c r="C96" s="104"/>
      <c r="D96" s="105"/>
      <c r="E96" s="105"/>
      <c r="F96" s="106"/>
      <c r="G96" s="107"/>
      <c r="H96" s="108"/>
      <c r="I96" s="108"/>
      <c r="J96" s="6"/>
    </row>
    <row r="97" spans="2:10" ht="18.75" customHeight="1" x14ac:dyDescent="0.35">
      <c r="B97" s="8"/>
      <c r="C97" s="122" t="s">
        <v>38</v>
      </c>
      <c r="D97" s="123"/>
      <c r="E97" s="55"/>
      <c r="F97" s="9"/>
      <c r="G97" s="9"/>
      <c r="H97" s="124" t="s">
        <v>30</v>
      </c>
      <c r="I97" s="125"/>
      <c r="J97" s="10"/>
    </row>
    <row r="98" spans="2:10" ht="18.75" customHeight="1" x14ac:dyDescent="0.35">
      <c r="B98" s="7"/>
      <c r="C98" s="7"/>
      <c r="D98" s="109"/>
      <c r="E98" s="6"/>
      <c r="F98" s="107"/>
      <c r="G98" s="107"/>
      <c r="H98" s="11"/>
      <c r="I98" s="12"/>
      <c r="J98" s="6"/>
    </row>
    <row r="99" spans="2:10" ht="18.75" customHeight="1" x14ac:dyDescent="0.35">
      <c r="B99" s="7"/>
      <c r="C99" s="7"/>
      <c r="D99" s="109"/>
      <c r="E99" s="6"/>
      <c r="F99" s="107"/>
      <c r="G99" s="107"/>
      <c r="H99" s="11"/>
      <c r="I99" s="12"/>
      <c r="J99" s="6"/>
    </row>
    <row r="100" spans="2:10" ht="50.25" customHeight="1" thickBot="1" x14ac:dyDescent="0.4">
      <c r="B100" s="7"/>
      <c r="C100" s="13"/>
      <c r="D100" s="14"/>
      <c r="E100" s="15"/>
      <c r="F100" s="107"/>
      <c r="G100" s="107"/>
      <c r="H100" s="16"/>
      <c r="I100" s="17"/>
      <c r="J100" s="6"/>
    </row>
    <row r="101" spans="2:10" ht="9.75" customHeight="1" thickBot="1" x14ac:dyDescent="0.4">
      <c r="B101" s="13"/>
      <c r="C101" s="14"/>
      <c r="D101" s="18"/>
      <c r="E101" s="18"/>
      <c r="F101" s="65"/>
      <c r="G101" s="19"/>
      <c r="H101" s="18"/>
      <c r="I101" s="18"/>
      <c r="J101" s="15"/>
    </row>
    <row r="102" spans="2:10" ht="18.75" customHeight="1" x14ac:dyDescent="0.35"/>
  </sheetData>
  <mergeCells count="47">
    <mergeCell ref="B7:J7"/>
    <mergeCell ref="B8:J8"/>
    <mergeCell ref="H9:J9"/>
    <mergeCell ref="H16:J16"/>
    <mergeCell ref="B17:J17"/>
    <mergeCell ref="B2:J2"/>
    <mergeCell ref="B3:J3"/>
    <mergeCell ref="B4:J4"/>
    <mergeCell ref="B5:J5"/>
    <mergeCell ref="B6:J6"/>
    <mergeCell ref="B20:D20"/>
    <mergeCell ref="B18:G18"/>
    <mergeCell ref="B21:J21"/>
    <mergeCell ref="B22:B23"/>
    <mergeCell ref="H18:J18"/>
    <mergeCell ref="E20:J20"/>
    <mergeCell ref="B19:D19"/>
    <mergeCell ref="E19:G19"/>
    <mergeCell ref="H19:J19"/>
    <mergeCell ref="B47:J47"/>
    <mergeCell ref="B48:B49"/>
    <mergeCell ref="G80:J81"/>
    <mergeCell ref="B81:F81"/>
    <mergeCell ref="B80:F80"/>
    <mergeCell ref="B79:F79"/>
    <mergeCell ref="G79:J79"/>
    <mergeCell ref="B82:F82"/>
    <mergeCell ref="G82:J82"/>
    <mergeCell ref="B83:F83"/>
    <mergeCell ref="G83:J86"/>
    <mergeCell ref="B84:F84"/>
    <mergeCell ref="B85:F85"/>
    <mergeCell ref="B86:F86"/>
    <mergeCell ref="B87:J87"/>
    <mergeCell ref="C97:D97"/>
    <mergeCell ref="H97:I97"/>
    <mergeCell ref="B88:F88"/>
    <mergeCell ref="G88:J88"/>
    <mergeCell ref="B89:F89"/>
    <mergeCell ref="G89:J90"/>
    <mergeCell ref="B90:F90"/>
    <mergeCell ref="G91:J91"/>
    <mergeCell ref="G92:J92"/>
    <mergeCell ref="B93:F93"/>
    <mergeCell ref="G93:J93"/>
    <mergeCell ref="B91:F91"/>
    <mergeCell ref="B92:F92"/>
  </mergeCells>
  <pageMargins left="0.59055118110236227" right="0.51181102362204722" top="0.55118110236220474" bottom="1.38" header="0.11811023622047245" footer="0.11811023622047245"/>
  <pageSetup paperSize="9" scale="58" orientation="portrait" r:id="rId1"/>
  <headerFooter>
    <oddFooter>Page &amp;P of &amp;N</oddFooter>
  </headerFooter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Contract NO_15</vt:lpstr>
      <vt:lpstr>'Contract NO_15'!Títulos_de_Impressão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2026-06-05T10:05:19Z</dcterms:modified>
</cp:coreProperties>
</file>
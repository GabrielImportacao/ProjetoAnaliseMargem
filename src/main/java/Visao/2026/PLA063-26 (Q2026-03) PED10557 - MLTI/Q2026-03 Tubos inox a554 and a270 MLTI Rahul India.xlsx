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D253DEFF-332B-4E06-B768-262A638E66D2}" xr6:coauthVersionLast="47" xr6:coauthVersionMax="47" xr10:uidLastSave="{00000000-0000-0000-0000-000000000000}"/>
  <bookViews>
    <workbookView xWindow="-110" yWindow="-110" windowWidth="19420" windowHeight="11500" xr2:uid="{0B0AFFCE-ADA7-46EB-9B78-E7B545450A7F}"/>
  </bookViews>
  <sheets>
    <sheet name="Q2026-03 pedido MLTI" sheetId="1" r:id="rId1"/>
  </sheets>
  <externalReferences>
    <externalReference r:id="rId2"/>
  </externalReferences>
  <definedNames>
    <definedName name="_xlnm._FilterDatabase" localSheetId="0" hidden="1">'Q2026-03 pedido MLTI'!$A$1:$R$26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7" i="1" l="1"/>
  <c r="M55" i="1"/>
  <c r="K55" i="1"/>
  <c r="M54" i="1"/>
  <c r="J54" i="1"/>
  <c r="M53" i="1"/>
  <c r="J53" i="1"/>
  <c r="M52" i="1"/>
  <c r="J52" i="1"/>
  <c r="M51" i="1"/>
  <c r="J51" i="1"/>
  <c r="M50" i="1"/>
  <c r="J50" i="1"/>
  <c r="M49" i="1"/>
  <c r="J49" i="1"/>
  <c r="M48" i="1"/>
  <c r="J48" i="1"/>
  <c r="M47" i="1"/>
  <c r="J47" i="1"/>
  <c r="M46" i="1"/>
  <c r="J46" i="1"/>
  <c r="M45" i="1"/>
  <c r="J45" i="1"/>
  <c r="M44" i="1"/>
  <c r="J44" i="1"/>
  <c r="M43" i="1"/>
  <c r="J43" i="1"/>
  <c r="M42" i="1"/>
  <c r="J42" i="1"/>
  <c r="M41" i="1"/>
  <c r="J41" i="1"/>
  <c r="M40" i="1"/>
  <c r="J40" i="1"/>
  <c r="M39" i="1"/>
  <c r="J39" i="1"/>
  <c r="M38" i="1"/>
  <c r="J38" i="1"/>
  <c r="N25" i="1"/>
  <c r="L25" i="1"/>
  <c r="N24" i="1"/>
  <c r="L24" i="1"/>
  <c r="N23" i="1"/>
  <c r="L23" i="1"/>
  <c r="O22" i="1"/>
  <c r="N22" i="1"/>
  <c r="J22" i="1"/>
  <c r="O21" i="1"/>
  <c r="N21" i="1"/>
  <c r="J21" i="1"/>
  <c r="O20" i="1"/>
  <c r="N20" i="1"/>
  <c r="J20" i="1"/>
  <c r="O19" i="1"/>
  <c r="N19" i="1"/>
  <c r="L19" i="1"/>
  <c r="J19" i="1"/>
  <c r="O18" i="1"/>
  <c r="N18" i="1"/>
  <c r="J18" i="1"/>
  <c r="O17" i="1"/>
  <c r="N17" i="1"/>
  <c r="J17" i="1"/>
  <c r="O16" i="1"/>
  <c r="N16" i="1"/>
  <c r="J16" i="1"/>
  <c r="N15" i="1"/>
  <c r="L15" i="1"/>
  <c r="O14" i="1"/>
  <c r="N14" i="1"/>
  <c r="J14" i="1"/>
  <c r="N13" i="1"/>
  <c r="L13" i="1"/>
  <c r="O12" i="1"/>
  <c r="N12" i="1"/>
  <c r="J12" i="1"/>
  <c r="N11" i="1"/>
  <c r="L11" i="1"/>
  <c r="O10" i="1"/>
  <c r="N10" i="1"/>
  <c r="L10" i="1"/>
  <c r="J10" i="1"/>
  <c r="O9" i="1"/>
  <c r="N9" i="1"/>
  <c r="J9" i="1"/>
  <c r="O8" i="1"/>
  <c r="N8" i="1"/>
  <c r="L8" i="1"/>
  <c r="J8" i="1"/>
  <c r="O7" i="1"/>
  <c r="N7" i="1"/>
  <c r="L7" i="1"/>
  <c r="J7" i="1"/>
  <c r="N6" i="1"/>
  <c r="L6" i="1"/>
  <c r="O5" i="1"/>
  <c r="N5" i="1"/>
  <c r="J5" i="1"/>
  <c r="N4" i="1"/>
  <c r="L4" i="1"/>
  <c r="O3" i="1"/>
  <c r="N3" i="1"/>
  <c r="J3" i="1"/>
  <c r="N2" i="1"/>
  <c r="L2" i="1"/>
  <c r="K54" i="1" l="1"/>
  <c r="K53" i="1"/>
  <c r="K47" i="1"/>
  <c r="K46" i="1"/>
  <c r="K43" i="1"/>
  <c r="K40" i="1"/>
  <c r="K38" i="1"/>
  <c r="P22" i="1"/>
  <c r="P21" i="1"/>
  <c r="L21" i="1"/>
  <c r="P19" i="1"/>
  <c r="L14" i="1"/>
  <c r="P9" i="1"/>
  <c r="P5" i="1"/>
  <c r="M57" i="1"/>
  <c r="K51" i="1"/>
  <c r="K50" i="1"/>
  <c r="K49" i="1"/>
  <c r="K45" i="1"/>
  <c r="K42" i="1"/>
  <c r="K41" i="1"/>
  <c r="K39" i="1"/>
  <c r="N26" i="1"/>
  <c r="L22" i="1"/>
  <c r="P20" i="1"/>
  <c r="L17" i="1"/>
  <c r="P16" i="1"/>
  <c r="L16" i="1"/>
  <c r="P10" i="1"/>
  <c r="L9" i="1"/>
  <c r="P8" i="1"/>
  <c r="P7" i="1"/>
  <c r="L5" i="1"/>
  <c r="P3" i="1"/>
  <c r="K52" i="1"/>
  <c r="K48" i="1"/>
  <c r="K44" i="1"/>
  <c r="O26" i="1"/>
  <c r="L20" i="1"/>
  <c r="P18" i="1"/>
  <c r="L18" i="1"/>
  <c r="P17" i="1"/>
  <c r="P14" i="1"/>
  <c r="P12" i="1"/>
  <c r="L12" i="1"/>
  <c r="L3" i="1"/>
  <c r="K57" i="1" l="1"/>
  <c r="P26" i="1"/>
  <c r="L26" i="1"/>
</calcChain>
</file>

<file path=xl/sharedStrings.xml><?xml version="1.0" encoding="utf-8"?>
<sst xmlns="http://schemas.openxmlformats.org/spreadsheetml/2006/main" count="249" uniqueCount="114">
  <si>
    <t>ITEM</t>
  </si>
  <si>
    <t>ITEM ID.</t>
  </si>
  <si>
    <t>Standard</t>
  </si>
  <si>
    <t>DESCRIPTION ENGLISH</t>
  </si>
  <si>
    <t>MATERIAL</t>
  </si>
  <si>
    <t>SIZE(Thickness x Length)</t>
  </si>
  <si>
    <t>Unit</t>
  </si>
  <si>
    <t>1st Shipment</t>
  </si>
  <si>
    <t>2nd Shipment</t>
  </si>
  <si>
    <t>3rd Shipment</t>
  </si>
  <si>
    <t>MLTI Price unit. USD</t>
  </si>
  <si>
    <t>MLTI Price Total USD</t>
  </si>
  <si>
    <t>NET WEIGHT (kg)</t>
  </si>
  <si>
    <t>1st Shpt. Total N.W. (KG)</t>
  </si>
  <si>
    <t>2nd Shpt. Total N.W. (KG)</t>
  </si>
  <si>
    <t>3rd Total N.W. (KG)</t>
  </si>
  <si>
    <t>NCM</t>
  </si>
  <si>
    <t>Heat Number</t>
  </si>
  <si>
    <t>MSC2403.1103</t>
  </si>
  <si>
    <t>A554</t>
  </si>
  <si>
    <t>TUBE ROUND WELDED/ASTM A554 ORNAMENTAL STAINLESS/ OUTSIDE POLISHED 600 GRIT /THICKNESS 1.2MM X LENGTH 6000MM/PC</t>
  </si>
  <si>
    <t>OD009,525 (3/8P) x 1,2MM x 6MTS</t>
  </si>
  <si>
    <t>METERS</t>
  </si>
  <si>
    <t>MSC2403.1104</t>
  </si>
  <si>
    <t>OD012,70 (1/2P) x 1,2MM x 6MTS</t>
  </si>
  <si>
    <t>MSC2403.1196</t>
  </si>
  <si>
    <t>OD015,875 (5/8P) x 1,2MM x 6MTS</t>
  </si>
  <si>
    <t>MSC2403.1105</t>
  </si>
  <si>
    <t>OD019,05 (3/4P) x 1,2MM x 6MTS</t>
  </si>
  <si>
    <t>MSC2403.1195</t>
  </si>
  <si>
    <t>OD022,225 (7/8P) x 1,2MM x 6MTS</t>
  </si>
  <si>
    <t>MSC2403.1106</t>
  </si>
  <si>
    <t>OD025,40 (1P) x 1,2MM x 6MTS</t>
  </si>
  <si>
    <t>MSC2403.1107</t>
  </si>
  <si>
    <t>OD031,75 (1.1/4P) x 1,2MM x 6MTS</t>
  </si>
  <si>
    <t>MSC2403.1108</t>
  </si>
  <si>
    <t>OD038,10 (1.1/2P) x 1,2MM x 6MTS</t>
  </si>
  <si>
    <t>MSC2403.1109</t>
  </si>
  <si>
    <t>OD050,80 (2P) x 1,2MM x 6MTS</t>
  </si>
  <si>
    <t>MSC2403.1203</t>
  </si>
  <si>
    <t>TUBE ROUND WELDED/ASTM A554 ORNAMENTAL STAINLESS/ OUTSIDE POLISHED 600 GRIT /THICKNESS 1.5MM X LENGTH 6000MM/PC</t>
  </si>
  <si>
    <t>OD009,525 (3/8P) x 1,5MM x 6MTS</t>
  </si>
  <si>
    <t>MSC2403.1204</t>
  </si>
  <si>
    <t>OD012,70 (1/2P) x 1,5MM x 6MTS</t>
  </si>
  <si>
    <t>MSC2403.1296</t>
  </si>
  <si>
    <t>OD015,875 (5/8P) x 1,5MM x 6MTS</t>
  </si>
  <si>
    <t>MSC2403.1205</t>
  </si>
  <si>
    <t>OD019,05 (3/4P) x 1,5MM x 6MTS</t>
  </si>
  <si>
    <t>MSC2403.1295</t>
  </si>
  <si>
    <t>OD022,225 (7/8P) x 1,5MM x 6MTS</t>
  </si>
  <si>
    <t>MSC2403.1206</t>
  </si>
  <si>
    <t>OD025,40 (1P) x 1,5MM x 6MTS</t>
  </si>
  <si>
    <t>MSC2403.1207</t>
  </si>
  <si>
    <t>OD031,75 (1.1/4P) x 1,5MM x 6MTS</t>
  </si>
  <si>
    <t>MSC2403.1208</t>
  </si>
  <si>
    <t>OD038,10 (1.1/2P) x 1,5MM x 6MTS</t>
  </si>
  <si>
    <t>MSC2403.1209</t>
  </si>
  <si>
    <t>OD050,80 (2P) x 1,5MM x 6MTS</t>
  </si>
  <si>
    <t>MSC2403.1210</t>
  </si>
  <si>
    <t>OD063,50 (2.1/2P) x 1,5MM x 6MTS</t>
  </si>
  <si>
    <t>MSC2403.1211</t>
  </si>
  <si>
    <t>OD076,20 (3P) x 1,5MM x 6MTS</t>
  </si>
  <si>
    <t>MSC2403.1212</t>
  </si>
  <si>
    <t>OD101,60 (4P) x 1,5MM x 6MTS</t>
  </si>
  <si>
    <t>MSC2403.1413</t>
  </si>
  <si>
    <t>TUBE ROUND WELDED/ASTM A554 ORNAMENTAL STAINLESS/ OUTSIDE POLISHED 600 GRIT /THICKNESS 2.00MM X LENGTH 6000MM/PC</t>
  </si>
  <si>
    <t>OD127,00 (5P) x 2,0MM</t>
  </si>
  <si>
    <t>MSC2403.1414</t>
  </si>
  <si>
    <t>OD152,40 (6P) x 2,0MM</t>
  </si>
  <si>
    <t>MSC2403.1415</t>
  </si>
  <si>
    <t>OD203,20 (8P) x 2,0MM</t>
  </si>
  <si>
    <t>Prazo de entrega; 8 a 12 semanas</t>
  </si>
  <si>
    <t>Prazo de pagamento; 20/80</t>
  </si>
  <si>
    <t>Programação de pedido;</t>
  </si>
  <si>
    <t>Entrega 1(1cntr); Imediato todos os itens acima.</t>
  </si>
  <si>
    <t>Entrega 2(1cntr); Carregar 60dias após a saida da data do BL do carregamento anterior, e excluir os itens vermelho acima, e aumentar as quantidades dos itens azul proporcional, total 27toneladas.</t>
  </si>
  <si>
    <t>Entrega 3(2cntr); Carregar 60dias após a saida da data do BL do carregamento anterior, e excluir os itens vermelho acima, e aumentar as quantidades dos itens azul proporcional. Total 27toneladas</t>
  </si>
  <si>
    <t>abaixo incluir pedido de 1cntr - astm a270 incluir - imediato e 60dias após o carregamento mais 1cntr, total de 2cntrs.</t>
  </si>
  <si>
    <t>MSC2401.1205</t>
  </si>
  <si>
    <t>A270</t>
  </si>
  <si>
    <t>TUBE ROUND WELDED ANNEALING/ASTM A270 SANITARY STAINLESS/SURFACE FINISH POLISHED OUTSIDE600 GRIT, INSIDE400 GRIT(Ra＜0.8μm) WITH MIRROR OUTSIDE</t>
  </si>
  <si>
    <t>OD019,05 (3/4P) x 1,5MMx 6METERS</t>
  </si>
  <si>
    <t>MSC2401.1206</t>
  </si>
  <si>
    <t>OD025,40 (1P) x 1,5MMx 6METERS</t>
  </si>
  <si>
    <t>MSC2401.1207</t>
  </si>
  <si>
    <t>OD031,75 (1.1/4P) x 1,5MMx 6METERS</t>
  </si>
  <si>
    <t>MSC2401.1208</t>
  </si>
  <si>
    <t>OD038,10 (1.1/2P) x 1,5MMx 6METERS</t>
  </si>
  <si>
    <t>MSC2401.1209</t>
  </si>
  <si>
    <t>OD050,80 (2P) x 1,5MMx 6METERS</t>
  </si>
  <si>
    <t>MSC2401.1210</t>
  </si>
  <si>
    <t>OD063,50 (2.1/2P) x 1,5MMx 6METERS</t>
  </si>
  <si>
    <t>MSC2401.1211</t>
  </si>
  <si>
    <t>OD076,20 (3P) x 1,5MMx 6METERS</t>
  </si>
  <si>
    <t>MSC2401.1411</t>
  </si>
  <si>
    <t>OD076,20 (3P) x 2,0MMx 6METERS</t>
  </si>
  <si>
    <t>MSC2401.1212</t>
  </si>
  <si>
    <t>OD101,60 (4P) x 1,5MMx 6METERS</t>
  </si>
  <si>
    <t>MSC2401.1412</t>
  </si>
  <si>
    <t>OD101,60 (4P) x 2,0MMx 6METERS</t>
  </si>
  <si>
    <t>MSC2401.1413</t>
  </si>
  <si>
    <t>OD127,00 (5P) x 2,0MMx 6METERS</t>
  </si>
  <si>
    <t>MSC2401.1414</t>
  </si>
  <si>
    <t>OD152,40 (6P) x 2,0MMx 6METERS</t>
  </si>
  <si>
    <t>MSC2401.1406</t>
  </si>
  <si>
    <t>OD025,40 (1P) x 2,0MM</t>
  </si>
  <si>
    <t>MSC2401.1408</t>
  </si>
  <si>
    <t>OD038,10 (1.1/2P) x 2,0MM</t>
  </si>
  <si>
    <t>MSC2401.1409</t>
  </si>
  <si>
    <t>OD050,80 (2P) x 2,0MM</t>
  </si>
  <si>
    <t>OD076,20 (3P) x 1,5MM</t>
  </si>
  <si>
    <t>OD101,60 (4P) x 1,5MM</t>
  </si>
  <si>
    <t>MSC2401.1204</t>
  </si>
  <si>
    <t xml:space="preserve">OD012,70 (1/2P) x 1,5MM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</si>
</sst>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.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164" fontId="0" fillId="0" borderId="0" xfId="0" applyNumberFormat="1"/>
    <xf numFmtId="164" fontId="0" fillId="3" borderId="0" xfId="0" applyNumberFormat="1" applyFill="1"/>
    <xf numFmtId="2" fontId="0" fillId="0" borderId="0" xfId="0" applyNumberFormat="1"/>
    <xf numFmtId="0" fontId="0" fillId="4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&#225;rio\Downloads\Paula%20Q2026-03%20Tubos%20A554%20A270%20R00%20060525%20comentarios%20marcos%2028-05-26%20(1)%20(2).xlsx" TargetMode="External"/><Relationship Id="rId1" Type="http://schemas.openxmlformats.org/officeDocument/2006/relationships/externalLinkPath" Target="Paula%20Q2026-03%20Tubos%20A554%20A270%20R00%20060525%20comentarios%20marcos%2028-05-26%20(1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2026-03 pedido MLTI"/>
      <sheetName val="Q2026-03 pedido OVERHEAD India"/>
      <sheetName val="Q2026-03 pedido Maysky Lynn"/>
      <sheetName val="cotação"/>
      <sheetName val="tubos a554"/>
      <sheetName val="Dubai A270 R01 300526"/>
      <sheetName val="Dubai A270"/>
      <sheetName val="Dubai A554"/>
      <sheetName val="MLTI A270"/>
      <sheetName val="MLTI A554"/>
      <sheetName val="Lynn A270 R01 260526"/>
      <sheetName val="Lynn A270"/>
      <sheetName val="Lynn A554 R01 260526"/>
      <sheetName val="Lynn A554 Red"/>
      <sheetName val="Lynn A554 Quad R01 260526"/>
      <sheetName val="Lynn A554 Qua"/>
      <sheetName val="OVERHEAD A554 RED R01 300526"/>
      <sheetName val="OVERHEAD A554"/>
      <sheetName val="OVERHEAD A554 qua"/>
      <sheetName val="OVERHEAD A270"/>
      <sheetName val="LYNN A554 qua 270526"/>
    </sheetNames>
    <sheetDataSet>
      <sheetData sheetId="0"/>
      <sheetData sheetId="1" refreshError="1"/>
      <sheetData sheetId="2" refreshError="1"/>
      <sheetData sheetId="3">
        <row r="1">
          <cell r="B1" t="str">
            <v>ITEM ID.</v>
          </cell>
          <cell r="S1" t="str">
            <v>MLTI India</v>
          </cell>
        </row>
        <row r="2">
          <cell r="B2" t="str">
            <v>MSC2401.1204</v>
          </cell>
          <cell r="S2">
            <v>1.55</v>
          </cell>
        </row>
        <row r="3">
          <cell r="B3" t="str">
            <v>MSC2401.1205</v>
          </cell>
          <cell r="S3">
            <v>2.39</v>
          </cell>
        </row>
        <row r="4">
          <cell r="B4" t="str">
            <v>MSC2401.1295</v>
          </cell>
          <cell r="S4">
            <v>2.82</v>
          </cell>
        </row>
        <row r="5">
          <cell r="B5" t="str">
            <v>MSC2401.1106</v>
          </cell>
          <cell r="S5">
            <v>2.64</v>
          </cell>
        </row>
        <row r="6">
          <cell r="B6" t="str">
            <v>MSC2401.1206</v>
          </cell>
          <cell r="S6">
            <v>3.25</v>
          </cell>
        </row>
        <row r="7">
          <cell r="B7" t="str">
            <v>MSC2401.1207</v>
          </cell>
          <cell r="S7">
            <v>4.12</v>
          </cell>
        </row>
        <row r="8">
          <cell r="B8" t="str">
            <v>MSC2401.1108</v>
          </cell>
          <cell r="S8">
            <v>4.0199999999999996</v>
          </cell>
        </row>
        <row r="9">
          <cell r="B9" t="str">
            <v>MSC2401.1208</v>
          </cell>
          <cell r="S9">
            <v>4.9800000000000004</v>
          </cell>
        </row>
        <row r="10">
          <cell r="B10" t="str">
            <v>MSC2401.1109</v>
          </cell>
          <cell r="S10">
            <v>5.4</v>
          </cell>
        </row>
        <row r="11">
          <cell r="B11" t="str">
            <v>MSC2401.1209</v>
          </cell>
          <cell r="S11">
            <v>6.71</v>
          </cell>
        </row>
        <row r="12">
          <cell r="B12" t="str">
            <v>MSC2401.1210</v>
          </cell>
          <cell r="S12">
            <v>8.44</v>
          </cell>
        </row>
        <row r="13">
          <cell r="B13" t="str">
            <v>MSC2401.1410</v>
          </cell>
          <cell r="S13">
            <v>11.17</v>
          </cell>
        </row>
        <row r="14">
          <cell r="B14" t="str">
            <v>MSC2401.1211</v>
          </cell>
          <cell r="S14">
            <v>10.17</v>
          </cell>
        </row>
        <row r="15">
          <cell r="B15" t="str">
            <v>MSC2401.1411</v>
          </cell>
          <cell r="S15">
            <v>13.47</v>
          </cell>
        </row>
        <row r="16">
          <cell r="B16" t="str">
            <v>MSC2401.1212</v>
          </cell>
          <cell r="S16">
            <v>13.63</v>
          </cell>
        </row>
        <row r="17">
          <cell r="B17" t="str">
            <v>MSC2401.1412</v>
          </cell>
          <cell r="S17">
            <v>18.079999999999998</v>
          </cell>
        </row>
        <row r="18">
          <cell r="B18" t="str">
            <v>MSC2401.1413</v>
          </cell>
          <cell r="S18">
            <v>24.52</v>
          </cell>
        </row>
        <row r="19">
          <cell r="B19" t="str">
            <v>MSC2401.1414</v>
          </cell>
          <cell r="S19">
            <v>29.5</v>
          </cell>
        </row>
        <row r="20">
          <cell r="B20" t="str">
            <v>MSC2401.1406</v>
          </cell>
        </row>
        <row r="21">
          <cell r="B21" t="str">
            <v>MSC2401.1408</v>
          </cell>
        </row>
        <row r="22">
          <cell r="B22" t="str">
            <v>MSC2401.1409</v>
          </cell>
        </row>
        <row r="23">
          <cell r="B23" t="str">
            <v>MSC2401.1211</v>
          </cell>
        </row>
        <row r="24">
          <cell r="B24" t="str">
            <v>MSC2401.1212</v>
          </cell>
        </row>
        <row r="25">
          <cell r="B25" t="str">
            <v>MSC2401.3406</v>
          </cell>
        </row>
        <row r="26">
          <cell r="B26" t="str">
            <v>MSC2401.3408</v>
          </cell>
        </row>
        <row r="27">
          <cell r="B27" t="str">
            <v>MSC2401.3409</v>
          </cell>
        </row>
        <row r="28">
          <cell r="B28" t="str">
            <v>MSC2401.3204</v>
          </cell>
          <cell r="S28">
            <v>2.33</v>
          </cell>
        </row>
        <row r="29">
          <cell r="B29" t="str">
            <v>MSC2401.3205</v>
          </cell>
          <cell r="S29">
            <v>3.63</v>
          </cell>
        </row>
        <row r="30">
          <cell r="B30" t="str">
            <v>MSC2401.3206</v>
          </cell>
          <cell r="S30">
            <v>4.9400000000000004</v>
          </cell>
        </row>
        <row r="31">
          <cell r="B31" t="str">
            <v>MSC2401.3207</v>
          </cell>
          <cell r="S31">
            <v>6.25</v>
          </cell>
        </row>
        <row r="32">
          <cell r="B32" t="str">
            <v>MSC2401.3208</v>
          </cell>
          <cell r="S32">
            <v>7.56</v>
          </cell>
        </row>
        <row r="33">
          <cell r="B33" t="str">
            <v>MSC2401.3209</v>
          </cell>
          <cell r="S33">
            <v>10.18</v>
          </cell>
        </row>
        <row r="34">
          <cell r="B34" t="str">
            <v>MSC2401.3210</v>
          </cell>
        </row>
        <row r="35">
          <cell r="B35" t="str">
            <v>MSC2401.3410</v>
          </cell>
          <cell r="S35">
            <v>16.940000000000001</v>
          </cell>
        </row>
        <row r="36">
          <cell r="B36" t="str">
            <v>MSC2401.3411</v>
          </cell>
          <cell r="S36">
            <v>20.440000000000001</v>
          </cell>
        </row>
        <row r="37">
          <cell r="B37" t="str">
            <v>MSC2401.3412</v>
          </cell>
          <cell r="S37">
            <v>27.43</v>
          </cell>
        </row>
        <row r="38">
          <cell r="B38" t="str">
            <v>MSC2401.3413</v>
          </cell>
          <cell r="S38">
            <v>36.54</v>
          </cell>
        </row>
        <row r="39">
          <cell r="B39" t="str">
            <v>MSC2401.3414</v>
          </cell>
          <cell r="S39">
            <v>43.97</v>
          </cell>
        </row>
        <row r="40">
          <cell r="B40" t="str">
            <v>MSC2401.3306</v>
          </cell>
        </row>
        <row r="41">
          <cell r="B41" t="str">
            <v>MSC2401.3308</v>
          </cell>
        </row>
        <row r="42">
          <cell r="B42" t="str">
            <v>MSC2401.3309</v>
          </cell>
        </row>
        <row r="43">
          <cell r="B43" t="str">
            <v>MSC2401.3310</v>
          </cell>
        </row>
        <row r="45">
          <cell r="B45" t="str">
            <v>MSC2403.1103</v>
          </cell>
          <cell r="S45">
            <v>0.73</v>
          </cell>
        </row>
        <row r="46">
          <cell r="B46" t="str">
            <v>MSC2403.1104</v>
          </cell>
          <cell r="S46">
            <v>0.89</v>
          </cell>
        </row>
        <row r="47">
          <cell r="B47" t="str">
            <v>MSC2403.1196</v>
          </cell>
          <cell r="S47">
            <v>1.1399999999999999</v>
          </cell>
        </row>
        <row r="48">
          <cell r="B48" t="str">
            <v>MSC2403.1105</v>
          </cell>
          <cell r="S48">
            <v>1.36</v>
          </cell>
        </row>
        <row r="49">
          <cell r="B49" t="str">
            <v>MSC2403.1195</v>
          </cell>
          <cell r="S49">
            <v>1.6</v>
          </cell>
        </row>
        <row r="50">
          <cell r="B50" t="str">
            <v>MSC2403.1106</v>
          </cell>
          <cell r="S50">
            <v>1.84</v>
          </cell>
        </row>
        <row r="51">
          <cell r="B51" t="str">
            <v>MSC2403.1107</v>
          </cell>
          <cell r="S51">
            <v>2.33</v>
          </cell>
        </row>
        <row r="52">
          <cell r="B52" t="str">
            <v>MSC2403.1108</v>
          </cell>
          <cell r="S52">
            <v>2.81</v>
          </cell>
        </row>
        <row r="53">
          <cell r="B53" t="str">
            <v>MSC2403.1109</v>
          </cell>
          <cell r="S53">
            <v>3.77</v>
          </cell>
        </row>
        <row r="54">
          <cell r="B54" t="str">
            <v>MSC2403.1110</v>
          </cell>
          <cell r="S54">
            <v>4.74</v>
          </cell>
        </row>
        <row r="55">
          <cell r="B55" t="str">
            <v>MSC2403.1111</v>
          </cell>
          <cell r="S55">
            <v>5.7</v>
          </cell>
        </row>
        <row r="56">
          <cell r="B56" t="str">
            <v>MSC2403.1112</v>
          </cell>
          <cell r="S56">
            <v>7.63</v>
          </cell>
        </row>
        <row r="57">
          <cell r="B57" t="str">
            <v>MSC2403.1203</v>
          </cell>
          <cell r="S57">
            <v>0.88</v>
          </cell>
        </row>
        <row r="58">
          <cell r="B58" t="str">
            <v>MSC2403.1204</v>
          </cell>
          <cell r="S58">
            <v>1.06</v>
          </cell>
        </row>
        <row r="59">
          <cell r="B59" t="str">
            <v>MSC2403.1296</v>
          </cell>
          <cell r="S59">
            <v>1.36</v>
          </cell>
        </row>
        <row r="60">
          <cell r="B60" t="str">
            <v>MSC2403.1205</v>
          </cell>
          <cell r="S60">
            <v>1.63</v>
          </cell>
        </row>
        <row r="61">
          <cell r="B61" t="str">
            <v>MSC2403.1295</v>
          </cell>
          <cell r="S61">
            <v>1.93</v>
          </cell>
        </row>
        <row r="62">
          <cell r="B62" t="str">
            <v>MSC2403.1206</v>
          </cell>
          <cell r="S62">
            <v>2.2200000000000002</v>
          </cell>
        </row>
        <row r="63">
          <cell r="B63" t="str">
            <v>MSC2403.1207</v>
          </cell>
          <cell r="S63">
            <v>2.81</v>
          </cell>
        </row>
        <row r="64">
          <cell r="B64" t="str">
            <v>MSC2403.1208</v>
          </cell>
          <cell r="S64">
            <v>3.4</v>
          </cell>
        </row>
        <row r="65">
          <cell r="B65" t="str">
            <v>MSC2403.1209</v>
          </cell>
          <cell r="S65">
            <v>4.57</v>
          </cell>
        </row>
        <row r="66">
          <cell r="B66" t="str">
            <v>MSC2403.1210</v>
          </cell>
          <cell r="S66">
            <v>5.74</v>
          </cell>
        </row>
        <row r="67">
          <cell r="B67" t="str">
            <v>MSC2403.1211</v>
          </cell>
          <cell r="S67">
            <v>6.92</v>
          </cell>
        </row>
        <row r="68">
          <cell r="B68" t="str">
            <v>MSC2403.1212</v>
          </cell>
          <cell r="S68">
            <v>9.27</v>
          </cell>
        </row>
        <row r="69">
          <cell r="B69" t="str">
            <v>MSC2403.1413</v>
          </cell>
          <cell r="S69">
            <v>18.190000000000001</v>
          </cell>
        </row>
        <row r="70">
          <cell r="B70" t="str">
            <v>MSC2403.1414</v>
          </cell>
          <cell r="S70">
            <v>21.89</v>
          </cell>
        </row>
        <row r="71">
          <cell r="B71" t="str">
            <v>MSC2403.1415</v>
          </cell>
          <cell r="S71">
            <v>29.28</v>
          </cell>
        </row>
        <row r="73">
          <cell r="B73" t="str">
            <v>MSC2405.1201</v>
          </cell>
        </row>
        <row r="74">
          <cell r="B74" t="str">
            <v>MSC2405.1202</v>
          </cell>
        </row>
        <row r="75">
          <cell r="B75" t="str">
            <v>MSC2405.1205</v>
          </cell>
        </row>
        <row r="76">
          <cell r="B76" t="str">
            <v>MSC2405.1206</v>
          </cell>
        </row>
        <row r="77">
          <cell r="B77" t="str">
            <v>MSC2405.1211</v>
          </cell>
        </row>
        <row r="78">
          <cell r="B78" t="str">
            <v>MSC2405.1216</v>
          </cell>
        </row>
        <row r="79">
          <cell r="B79" t="str">
            <v>MSC2405.1220</v>
          </cell>
        </row>
        <row r="80">
          <cell r="B80" t="str">
            <v>MSC2404.1203</v>
          </cell>
        </row>
        <row r="81">
          <cell r="B81" t="str">
            <v>MSC2404.1205</v>
          </cell>
        </row>
        <row r="82">
          <cell r="B82" t="str">
            <v>MSC2404.1207</v>
          </cell>
        </row>
        <row r="83">
          <cell r="B83" t="str">
            <v>MSC2404.1208</v>
          </cell>
        </row>
        <row r="84">
          <cell r="B84" t="str">
            <v>MSC2404.1407</v>
          </cell>
        </row>
        <row r="85">
          <cell r="B85" t="str">
            <v>MSC2404.1201</v>
          </cell>
        </row>
        <row r="86">
          <cell r="B86" t="str">
            <v>MSC2404.1103</v>
          </cell>
        </row>
        <row r="87">
          <cell r="B87" t="str">
            <v>MSC2404.1105</v>
          </cell>
        </row>
        <row r="88">
          <cell r="B88" t="str">
            <v>MSC2404.1107</v>
          </cell>
        </row>
        <row r="89">
          <cell r="B89" t="str">
            <v>MSC2404.1108</v>
          </cell>
        </row>
        <row r="90">
          <cell r="B90" t="str">
            <v>MSC2404.1408</v>
          </cell>
        </row>
        <row r="91">
          <cell r="B91" t="str">
            <v>MSC2404.1209</v>
          </cell>
        </row>
        <row r="92">
          <cell r="B92" t="str">
            <v>MSC2404.1409</v>
          </cell>
        </row>
        <row r="93">
          <cell r="B93" t="str">
            <v>MSC2404.1411</v>
          </cell>
        </row>
        <row r="94">
          <cell r="B94" t="str">
            <v>MSC2404.1412</v>
          </cell>
        </row>
        <row r="95">
          <cell r="B95" t="str">
            <v>MSC2404.1610</v>
          </cell>
        </row>
        <row r="96">
          <cell r="B96" t="str">
            <v>MSC2405.1105</v>
          </cell>
        </row>
        <row r="97">
          <cell r="B97" t="str">
            <v>MSC2405.1106</v>
          </cell>
        </row>
        <row r="98">
          <cell r="B98" t="str">
            <v>MSC2405.1111</v>
          </cell>
        </row>
        <row r="99">
          <cell r="B99" t="str">
            <v>MSC2405.1211</v>
          </cell>
        </row>
        <row r="100">
          <cell r="B100" t="str">
            <v>MSC2405.1416</v>
          </cell>
        </row>
        <row r="101">
          <cell r="B101" t="str">
            <v>MSC2405.1420</v>
          </cell>
        </row>
        <row r="102">
          <cell r="B102" t="str">
            <v>MSC2403.4105</v>
          </cell>
        </row>
        <row r="103">
          <cell r="B103" t="str">
            <v>MSC2403.4106</v>
          </cell>
        </row>
        <row r="104">
          <cell r="B104" t="str">
            <v>MSC2403.4108</v>
          </cell>
        </row>
        <row r="105">
          <cell r="B105" t="str">
            <v>MSC2403.4109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7C10-C821-42D0-B44B-675C9D6AF73F}">
  <dimension ref="A1:R57"/>
  <sheetViews>
    <sheetView tabSelected="1" topLeftCell="D1" workbookViewId="0">
      <pane ySplit="1" topLeftCell="A14" activePane="bottomLeft" state="frozen"/>
      <selection activeCell="C1" sqref="C1"/>
      <selection pane="bottomLeft" activeCell="F35" sqref="F35"/>
    </sheetView>
  </sheetViews>
  <sheetFormatPr defaultRowHeight="14.5" x14ac:dyDescent="0.35"/>
  <cols>
    <col min="1" max="1" width="4.6328125" bestFit="1" customWidth="1"/>
    <col min="2" max="2" width="13.1796875" bestFit="1" customWidth="1"/>
    <col min="4" max="4" width="39.81640625" customWidth="1"/>
    <col min="6" max="6" width="29.26953125" bestFit="1" customWidth="1"/>
    <col min="7" max="7" width="9.54296875" customWidth="1"/>
    <col min="8" max="10" width="10.7265625" customWidth="1"/>
    <col min="11" max="11" width="16.6328125" bestFit="1" customWidth="1"/>
    <col min="12" max="12" width="18.81640625" customWidth="1"/>
    <col min="13" max="13" width="14.453125" bestFit="1" customWidth="1"/>
    <col min="14" max="16" width="16.453125" bestFit="1" customWidth="1"/>
  </cols>
  <sheetData>
    <row r="1" spans="1:18" s="2" customFormat="1" ht="3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3">
        <v>1</v>
      </c>
      <c r="B2" s="3" t="s">
        <v>18</v>
      </c>
      <c r="C2" t="s">
        <v>19</v>
      </c>
      <c r="D2" t="s">
        <v>20</v>
      </c>
      <c r="E2">
        <v>304</v>
      </c>
      <c r="F2" t="s">
        <v>21</v>
      </c>
      <c r="G2" t="s">
        <v>22</v>
      </c>
      <c r="H2">
        <v>990</v>
      </c>
      <c r="K2" s="4">
        <v>0.73</v>
      </c>
      <c r="L2" s="5">
        <f>(H2+I2+J2)*K2</f>
        <v>722.69999999999993</v>
      </c>
      <c r="M2" s="6">
        <v>0.24725250000000001</v>
      </c>
      <c r="N2" s="6">
        <f>M2*H2</f>
        <v>244.77997500000001</v>
      </c>
      <c r="O2" s="6"/>
      <c r="P2" s="6"/>
      <c r="Q2">
        <v>73064000</v>
      </c>
    </row>
    <row r="3" spans="1:18" x14ac:dyDescent="0.35">
      <c r="A3">
        <v>2</v>
      </c>
      <c r="B3" t="s">
        <v>23</v>
      </c>
      <c r="C3" t="s">
        <v>19</v>
      </c>
      <c r="D3" t="s">
        <v>20</v>
      </c>
      <c r="E3">
        <v>304</v>
      </c>
      <c r="F3" t="s">
        <v>24</v>
      </c>
      <c r="G3" t="s">
        <v>22</v>
      </c>
      <c r="H3">
        <v>738</v>
      </c>
      <c r="I3">
        <v>738</v>
      </c>
      <c r="J3">
        <f>I3*2</f>
        <v>1476</v>
      </c>
      <c r="K3" s="4">
        <v>0.89</v>
      </c>
      <c r="L3" s="5">
        <f>(H3+I3+J3)*K3</f>
        <v>2627.28</v>
      </c>
      <c r="M3" s="6">
        <v>0.34154999999999996</v>
      </c>
      <c r="N3" s="6">
        <f>M3*H3</f>
        <v>252.06389999999996</v>
      </c>
      <c r="O3" s="6">
        <f>M3*I3</f>
        <v>252.06389999999996</v>
      </c>
      <c r="P3" s="6">
        <f>M3*J3</f>
        <v>504.12779999999992</v>
      </c>
      <c r="Q3">
        <v>73064000</v>
      </c>
    </row>
    <row r="4" spans="1:18" x14ac:dyDescent="0.35">
      <c r="A4" s="3">
        <v>3</v>
      </c>
      <c r="B4" s="3" t="s">
        <v>25</v>
      </c>
      <c r="C4" t="s">
        <v>19</v>
      </c>
      <c r="D4" t="s">
        <v>20</v>
      </c>
      <c r="E4">
        <v>304</v>
      </c>
      <c r="F4" t="s">
        <v>26</v>
      </c>
      <c r="G4" t="s">
        <v>22</v>
      </c>
      <c r="H4">
        <v>570</v>
      </c>
      <c r="K4" s="4">
        <v>1.1399999999999999</v>
      </c>
      <c r="L4" s="5">
        <f>(H4+I4+J4)*K4</f>
        <v>649.79999999999995</v>
      </c>
      <c r="M4" s="6">
        <v>0.4358475</v>
      </c>
      <c r="N4" s="6">
        <f>M4*H4</f>
        <v>248.433075</v>
      </c>
      <c r="O4" s="6"/>
      <c r="P4" s="6"/>
      <c r="Q4">
        <v>73064000</v>
      </c>
    </row>
    <row r="5" spans="1:18" x14ac:dyDescent="0.35">
      <c r="A5">
        <v>4</v>
      </c>
      <c r="B5" t="s">
        <v>27</v>
      </c>
      <c r="C5" t="s">
        <v>19</v>
      </c>
      <c r="D5" t="s">
        <v>20</v>
      </c>
      <c r="E5">
        <v>304</v>
      </c>
      <c r="F5" t="s">
        <v>28</v>
      </c>
      <c r="G5" t="s">
        <v>22</v>
      </c>
      <c r="H5">
        <v>474</v>
      </c>
      <c r="I5">
        <v>474</v>
      </c>
      <c r="J5">
        <f t="shared" ref="J5:J22" si="0">I5*2</f>
        <v>948</v>
      </c>
      <c r="K5" s="4">
        <v>1.36</v>
      </c>
      <c r="L5" s="5">
        <f>(H5+I5+J5)*K5</f>
        <v>2578.5600000000004</v>
      </c>
      <c r="M5" s="6">
        <v>0.53014500000000009</v>
      </c>
      <c r="N5" s="6">
        <f>M5*H5</f>
        <v>251.28873000000004</v>
      </c>
      <c r="O5" s="6">
        <f>M5*I5</f>
        <v>251.28873000000004</v>
      </c>
      <c r="P5" s="6">
        <f>M5*J5</f>
        <v>502.57746000000009</v>
      </c>
      <c r="Q5">
        <v>73064000</v>
      </c>
    </row>
    <row r="6" spans="1:18" x14ac:dyDescent="0.35">
      <c r="A6" s="3">
        <v>5</v>
      </c>
      <c r="B6" s="3" t="s">
        <v>29</v>
      </c>
      <c r="C6" t="s">
        <v>19</v>
      </c>
      <c r="D6" t="s">
        <v>20</v>
      </c>
      <c r="E6">
        <v>304</v>
      </c>
      <c r="F6" t="s">
        <v>30</v>
      </c>
      <c r="G6" t="s">
        <v>22</v>
      </c>
      <c r="H6">
        <v>402</v>
      </c>
      <c r="K6" s="4">
        <v>1.6</v>
      </c>
      <c r="L6" s="5">
        <f>(H6+I6+J6)*K6</f>
        <v>643.20000000000005</v>
      </c>
      <c r="M6" s="6">
        <v>0.62444250000000001</v>
      </c>
      <c r="N6" s="6">
        <f>M6*H6</f>
        <v>251.02588500000002</v>
      </c>
      <c r="O6" s="6"/>
      <c r="P6" s="6"/>
      <c r="Q6">
        <v>73064000</v>
      </c>
    </row>
    <row r="7" spans="1:18" x14ac:dyDescent="0.35">
      <c r="A7" s="7">
        <v>6</v>
      </c>
      <c r="B7" s="7" t="s">
        <v>31</v>
      </c>
      <c r="C7" t="s">
        <v>19</v>
      </c>
      <c r="D7" t="s">
        <v>20</v>
      </c>
      <c r="E7">
        <v>304</v>
      </c>
      <c r="F7" t="s">
        <v>32</v>
      </c>
      <c r="G7" t="s">
        <v>22</v>
      </c>
      <c r="H7">
        <v>690</v>
      </c>
      <c r="I7">
        <v>1080</v>
      </c>
      <c r="J7">
        <f t="shared" si="0"/>
        <v>2160</v>
      </c>
      <c r="K7" s="4">
        <v>1.84</v>
      </c>
      <c r="L7" s="5">
        <f>(H7+I7+J7)*K7</f>
        <v>7231.2000000000007</v>
      </c>
      <c r="M7" s="6">
        <v>0.71874000000000005</v>
      </c>
      <c r="N7" s="6">
        <f>M7*H7</f>
        <v>495.93060000000003</v>
      </c>
      <c r="O7" s="6">
        <f>M7*I7</f>
        <v>776.2392000000001</v>
      </c>
      <c r="P7" s="6">
        <f>M7*J7</f>
        <v>1552.4784000000002</v>
      </c>
      <c r="Q7">
        <v>73064000</v>
      </c>
    </row>
    <row r="8" spans="1:18" x14ac:dyDescent="0.35">
      <c r="A8">
        <v>7</v>
      </c>
      <c r="B8" t="s">
        <v>33</v>
      </c>
      <c r="C8" t="s">
        <v>19</v>
      </c>
      <c r="D8" t="s">
        <v>20</v>
      </c>
      <c r="E8">
        <v>304</v>
      </c>
      <c r="F8" t="s">
        <v>34</v>
      </c>
      <c r="G8" t="s">
        <v>22</v>
      </c>
      <c r="H8">
        <v>276</v>
      </c>
      <c r="I8">
        <v>276</v>
      </c>
      <c r="J8">
        <f t="shared" si="0"/>
        <v>552</v>
      </c>
      <c r="K8" s="4">
        <v>2.33</v>
      </c>
      <c r="L8" s="5">
        <f>(H8+I8+J8)*K8</f>
        <v>2572.3200000000002</v>
      </c>
      <c r="M8" s="6">
        <v>0.907335</v>
      </c>
      <c r="N8" s="6">
        <f>M8*H8</f>
        <v>250.42446000000001</v>
      </c>
      <c r="O8" s="6">
        <f>M8*I8</f>
        <v>250.42446000000001</v>
      </c>
      <c r="P8" s="6">
        <f>M8*J8</f>
        <v>500.84892000000002</v>
      </c>
      <c r="Q8">
        <v>73064000</v>
      </c>
    </row>
    <row r="9" spans="1:18" x14ac:dyDescent="0.35">
      <c r="A9" s="7">
        <v>8</v>
      </c>
      <c r="B9" s="7" t="s">
        <v>35</v>
      </c>
      <c r="C9" t="s">
        <v>19</v>
      </c>
      <c r="D9" t="s">
        <v>20</v>
      </c>
      <c r="E9">
        <v>304</v>
      </c>
      <c r="F9" t="s">
        <v>36</v>
      </c>
      <c r="G9" t="s">
        <v>22</v>
      </c>
      <c r="H9">
        <v>1200</v>
      </c>
      <c r="I9">
        <v>1500</v>
      </c>
      <c r="J9">
        <f t="shared" si="0"/>
        <v>3000</v>
      </c>
      <c r="K9" s="4">
        <v>2.81</v>
      </c>
      <c r="L9" s="5">
        <f>(H9+I9+J9)*K9</f>
        <v>16017</v>
      </c>
      <c r="M9" s="6">
        <v>1.0959299999999998</v>
      </c>
      <c r="N9" s="6">
        <f>M9*H9</f>
        <v>1315.1159999999998</v>
      </c>
      <c r="O9" s="6">
        <f>M9*I9</f>
        <v>1643.8949999999998</v>
      </c>
      <c r="P9" s="6">
        <f>M9*J9</f>
        <v>3287.7899999999995</v>
      </c>
      <c r="Q9">
        <v>73064000</v>
      </c>
    </row>
    <row r="10" spans="1:18" x14ac:dyDescent="0.35">
      <c r="A10" s="7">
        <v>9</v>
      </c>
      <c r="B10" s="7" t="s">
        <v>37</v>
      </c>
      <c r="C10" t="s">
        <v>19</v>
      </c>
      <c r="D10" t="s">
        <v>20</v>
      </c>
      <c r="E10">
        <v>304</v>
      </c>
      <c r="F10" t="s">
        <v>38</v>
      </c>
      <c r="G10" t="s">
        <v>22</v>
      </c>
      <c r="H10">
        <v>1200</v>
      </c>
      <c r="I10">
        <v>1500</v>
      </c>
      <c r="J10">
        <f t="shared" si="0"/>
        <v>3000</v>
      </c>
      <c r="K10" s="4">
        <v>3.77</v>
      </c>
      <c r="L10" s="5">
        <f>(H10+I10+J10)*K10</f>
        <v>21489</v>
      </c>
      <c r="M10" s="6">
        <v>1.4731199999999998</v>
      </c>
      <c r="N10" s="6">
        <f>M10*H10</f>
        <v>1767.7439999999997</v>
      </c>
      <c r="O10" s="6">
        <f>M10*I10</f>
        <v>2209.6799999999998</v>
      </c>
      <c r="P10" s="6">
        <f>M10*J10</f>
        <v>4419.3599999999997</v>
      </c>
      <c r="Q10">
        <v>73064000</v>
      </c>
    </row>
    <row r="11" spans="1:18" x14ac:dyDescent="0.35">
      <c r="A11" s="3">
        <v>10</v>
      </c>
      <c r="B11" s="3" t="s">
        <v>39</v>
      </c>
      <c r="C11" t="s">
        <v>19</v>
      </c>
      <c r="D11" t="s">
        <v>40</v>
      </c>
      <c r="E11">
        <v>304</v>
      </c>
      <c r="F11" t="s">
        <v>41</v>
      </c>
      <c r="G11" t="s">
        <v>22</v>
      </c>
      <c r="H11">
        <v>810</v>
      </c>
      <c r="K11" s="4">
        <v>0.88</v>
      </c>
      <c r="L11" s="5">
        <f>(H11+I11+J11)*K11</f>
        <v>712.8</v>
      </c>
      <c r="M11" s="6">
        <v>0.29792812500000004</v>
      </c>
      <c r="N11" s="6">
        <f>M11*H11</f>
        <v>241.32178125000004</v>
      </c>
      <c r="O11" s="6"/>
      <c r="P11" s="6"/>
      <c r="Q11">
        <v>73064000</v>
      </c>
    </row>
    <row r="12" spans="1:18" x14ac:dyDescent="0.35">
      <c r="A12">
        <v>11</v>
      </c>
      <c r="B12" t="s">
        <v>42</v>
      </c>
      <c r="C12" t="s">
        <v>19</v>
      </c>
      <c r="D12" t="s">
        <v>40</v>
      </c>
      <c r="E12">
        <v>304</v>
      </c>
      <c r="F12" t="s">
        <v>43</v>
      </c>
      <c r="G12" t="s">
        <v>22</v>
      </c>
      <c r="H12">
        <v>1200</v>
      </c>
      <c r="I12">
        <v>1200</v>
      </c>
      <c r="J12">
        <f t="shared" si="0"/>
        <v>2400</v>
      </c>
      <c r="K12" s="4">
        <v>1.06</v>
      </c>
      <c r="L12" s="5">
        <f>(H12+I12+J12)*K12</f>
        <v>5088</v>
      </c>
      <c r="M12" s="6">
        <v>0.41579999999999995</v>
      </c>
      <c r="N12" s="6">
        <f>M12*H12</f>
        <v>498.95999999999992</v>
      </c>
      <c r="O12" s="6">
        <f>M12*I12</f>
        <v>498.95999999999992</v>
      </c>
      <c r="P12" s="6">
        <f>M12*J12</f>
        <v>997.91999999999985</v>
      </c>
      <c r="Q12">
        <v>73064000</v>
      </c>
    </row>
    <row r="13" spans="1:18" x14ac:dyDescent="0.35">
      <c r="A13" s="3">
        <v>12</v>
      </c>
      <c r="B13" s="3" t="s">
        <v>44</v>
      </c>
      <c r="C13" t="s">
        <v>19</v>
      </c>
      <c r="D13" t="s">
        <v>40</v>
      </c>
      <c r="E13">
        <v>304</v>
      </c>
      <c r="F13" t="s">
        <v>45</v>
      </c>
      <c r="G13" t="s">
        <v>22</v>
      </c>
      <c r="H13">
        <v>468</v>
      </c>
      <c r="K13" s="4">
        <v>1.36</v>
      </c>
      <c r="L13" s="5">
        <f>(H13+I13+J13)*K13</f>
        <v>636.48</v>
      </c>
      <c r="M13" s="6">
        <v>0.53367187500000002</v>
      </c>
      <c r="N13" s="6">
        <f>M13*H13</f>
        <v>249.75843750000001</v>
      </c>
      <c r="O13" s="6"/>
      <c r="P13" s="6"/>
      <c r="Q13">
        <v>73064000</v>
      </c>
    </row>
    <row r="14" spans="1:18" x14ac:dyDescent="0.35">
      <c r="A14">
        <v>13</v>
      </c>
      <c r="B14" t="s">
        <v>46</v>
      </c>
      <c r="C14" t="s">
        <v>19</v>
      </c>
      <c r="D14" t="s">
        <v>40</v>
      </c>
      <c r="E14">
        <v>304</v>
      </c>
      <c r="F14" t="s">
        <v>47</v>
      </c>
      <c r="G14" t="s">
        <v>22</v>
      </c>
      <c r="H14">
        <v>1800</v>
      </c>
      <c r="I14">
        <v>1800</v>
      </c>
      <c r="J14">
        <f t="shared" si="0"/>
        <v>3600</v>
      </c>
      <c r="K14" s="4">
        <v>1.63</v>
      </c>
      <c r="L14" s="5">
        <f>(H14+I14+J14)*K14</f>
        <v>11736</v>
      </c>
      <c r="M14" s="6">
        <v>0.65154375000000009</v>
      </c>
      <c r="N14" s="6">
        <f>M14*H14</f>
        <v>1172.7787500000002</v>
      </c>
      <c r="O14" s="6">
        <f>M14*I14</f>
        <v>1172.7787500000002</v>
      </c>
      <c r="P14" s="6">
        <f>M14*J14</f>
        <v>2345.5575000000003</v>
      </c>
      <c r="Q14">
        <v>73064000</v>
      </c>
    </row>
    <row r="15" spans="1:18" x14ac:dyDescent="0.35">
      <c r="A15" s="3">
        <v>14</v>
      </c>
      <c r="B15" s="3" t="s">
        <v>48</v>
      </c>
      <c r="C15" t="s">
        <v>19</v>
      </c>
      <c r="D15" t="s">
        <v>40</v>
      </c>
      <c r="E15">
        <v>304</v>
      </c>
      <c r="F15" t="s">
        <v>49</v>
      </c>
      <c r="G15" t="s">
        <v>22</v>
      </c>
      <c r="H15">
        <v>324</v>
      </c>
      <c r="K15" s="4">
        <v>1.93</v>
      </c>
      <c r="L15" s="5">
        <f>(H15+I15+J15)*K15</f>
        <v>625.31999999999994</v>
      </c>
      <c r="M15" s="6">
        <v>0.76941562500000005</v>
      </c>
      <c r="N15" s="6">
        <f>M15*H15</f>
        <v>249.29066250000002</v>
      </c>
      <c r="O15" s="6"/>
      <c r="P15" s="6"/>
      <c r="Q15">
        <v>73064000</v>
      </c>
    </row>
    <row r="16" spans="1:18" x14ac:dyDescent="0.35">
      <c r="A16" s="7">
        <v>15</v>
      </c>
      <c r="B16" s="7" t="s">
        <v>50</v>
      </c>
      <c r="C16" t="s">
        <v>19</v>
      </c>
      <c r="D16" t="s">
        <v>40</v>
      </c>
      <c r="E16">
        <v>304</v>
      </c>
      <c r="F16" t="s">
        <v>51</v>
      </c>
      <c r="G16" t="s">
        <v>22</v>
      </c>
      <c r="H16">
        <v>1200</v>
      </c>
      <c r="I16">
        <v>1500</v>
      </c>
      <c r="J16">
        <f t="shared" si="0"/>
        <v>3000</v>
      </c>
      <c r="K16" s="4">
        <v>2.2200000000000002</v>
      </c>
      <c r="L16" s="5">
        <f>(H16+I16+J16)*K16</f>
        <v>12654.000000000002</v>
      </c>
      <c r="M16" s="6">
        <v>0.8872874999999999</v>
      </c>
      <c r="N16" s="6">
        <f>M16*H16</f>
        <v>1064.7449999999999</v>
      </c>
      <c r="O16" s="6">
        <f>M16*I16</f>
        <v>1330.9312499999999</v>
      </c>
      <c r="P16" s="6">
        <f>M16*J16</f>
        <v>2661.8624999999997</v>
      </c>
      <c r="Q16">
        <v>73064000</v>
      </c>
    </row>
    <row r="17" spans="1:17" x14ac:dyDescent="0.35">
      <c r="A17">
        <v>16</v>
      </c>
      <c r="B17" t="s">
        <v>52</v>
      </c>
      <c r="C17" t="s">
        <v>19</v>
      </c>
      <c r="D17" t="s">
        <v>40</v>
      </c>
      <c r="E17">
        <v>304</v>
      </c>
      <c r="F17" t="s">
        <v>53</v>
      </c>
      <c r="G17" t="s">
        <v>22</v>
      </c>
      <c r="H17">
        <v>450</v>
      </c>
      <c r="I17">
        <v>450</v>
      </c>
      <c r="J17">
        <f t="shared" si="0"/>
        <v>900</v>
      </c>
      <c r="K17" s="4">
        <v>2.81</v>
      </c>
      <c r="L17" s="5">
        <f>(H17+I17+J17)*K17</f>
        <v>5058</v>
      </c>
      <c r="M17" s="6">
        <v>1.1230312500000001</v>
      </c>
      <c r="N17" s="6">
        <f>M17*H17</f>
        <v>505.36406250000005</v>
      </c>
      <c r="O17" s="6">
        <f>M17*I17</f>
        <v>505.36406250000005</v>
      </c>
      <c r="P17" s="6">
        <f>M17*J17</f>
        <v>1010.7281250000001</v>
      </c>
      <c r="Q17">
        <v>73064000</v>
      </c>
    </row>
    <row r="18" spans="1:17" x14ac:dyDescent="0.35">
      <c r="A18" s="7">
        <v>17</v>
      </c>
      <c r="B18" s="7" t="s">
        <v>54</v>
      </c>
      <c r="C18" t="s">
        <v>19</v>
      </c>
      <c r="D18" t="s">
        <v>40</v>
      </c>
      <c r="E18">
        <v>304</v>
      </c>
      <c r="F18" t="s">
        <v>55</v>
      </c>
      <c r="G18" t="s">
        <v>22</v>
      </c>
      <c r="H18" s="8">
        <v>2400</v>
      </c>
      <c r="I18" s="8">
        <v>2700</v>
      </c>
      <c r="J18">
        <f t="shared" si="0"/>
        <v>5400</v>
      </c>
      <c r="K18" s="4">
        <v>3.4</v>
      </c>
      <c r="L18" s="5">
        <f>(H18+I18+J18)*K18</f>
        <v>35700</v>
      </c>
      <c r="M18" s="6">
        <v>1.3587750000000003</v>
      </c>
      <c r="N18" s="6">
        <f>M18*H18</f>
        <v>3261.0600000000009</v>
      </c>
      <c r="O18" s="6">
        <f>M18*I18</f>
        <v>3668.6925000000006</v>
      </c>
      <c r="P18" s="6">
        <f>M18*J18</f>
        <v>7337.3850000000011</v>
      </c>
      <c r="Q18">
        <v>73064000</v>
      </c>
    </row>
    <row r="19" spans="1:17" x14ac:dyDescent="0.35">
      <c r="A19" s="7">
        <v>18</v>
      </c>
      <c r="B19" s="7" t="s">
        <v>56</v>
      </c>
      <c r="C19" t="s">
        <v>19</v>
      </c>
      <c r="D19" t="s">
        <v>40</v>
      </c>
      <c r="E19">
        <v>304</v>
      </c>
      <c r="F19" t="s">
        <v>57</v>
      </c>
      <c r="G19" t="s">
        <v>22</v>
      </c>
      <c r="H19" s="8">
        <v>3300</v>
      </c>
      <c r="I19" s="8">
        <v>3780</v>
      </c>
      <c r="J19">
        <f t="shared" si="0"/>
        <v>7560</v>
      </c>
      <c r="K19" s="4">
        <v>4.57</v>
      </c>
      <c r="L19" s="5">
        <f>(H19+I19+J19)*K19</f>
        <v>66904.800000000003</v>
      </c>
      <c r="M19" s="6">
        <v>1.8302624999999999</v>
      </c>
      <c r="N19" s="6">
        <f>M19*H19</f>
        <v>6039.86625</v>
      </c>
      <c r="O19" s="6">
        <f>M19*I19</f>
        <v>6918.3922499999999</v>
      </c>
      <c r="P19" s="6">
        <f>M19*J19</f>
        <v>13836.7845</v>
      </c>
      <c r="Q19">
        <v>73064000</v>
      </c>
    </row>
    <row r="20" spans="1:17" x14ac:dyDescent="0.35">
      <c r="A20">
        <v>19</v>
      </c>
      <c r="B20" t="s">
        <v>58</v>
      </c>
      <c r="C20" t="s">
        <v>19</v>
      </c>
      <c r="D20" t="s">
        <v>40</v>
      </c>
      <c r="E20">
        <v>304</v>
      </c>
      <c r="F20" t="s">
        <v>59</v>
      </c>
      <c r="G20" t="s">
        <v>22</v>
      </c>
      <c r="H20">
        <v>216</v>
      </c>
      <c r="I20">
        <v>216</v>
      </c>
      <c r="J20">
        <f t="shared" si="0"/>
        <v>432</v>
      </c>
      <c r="K20" s="4">
        <v>5.74</v>
      </c>
      <c r="L20" s="5">
        <f>(H20+I20+J20)*K20</f>
        <v>4959.3600000000006</v>
      </c>
      <c r="M20" s="6">
        <v>2.3017500000000002</v>
      </c>
      <c r="N20" s="6">
        <f>M20*H20</f>
        <v>497.17800000000005</v>
      </c>
      <c r="O20" s="6">
        <f>M20*I20</f>
        <v>497.17800000000005</v>
      </c>
      <c r="P20" s="6">
        <f>M20*J20</f>
        <v>994.35600000000011</v>
      </c>
      <c r="Q20">
        <v>73064000</v>
      </c>
    </row>
    <row r="21" spans="1:17" x14ac:dyDescent="0.35">
      <c r="A21" s="7">
        <v>20</v>
      </c>
      <c r="B21" s="7" t="s">
        <v>60</v>
      </c>
      <c r="C21" t="s">
        <v>19</v>
      </c>
      <c r="D21" t="s">
        <v>40</v>
      </c>
      <c r="E21">
        <v>304</v>
      </c>
      <c r="F21" t="s">
        <v>61</v>
      </c>
      <c r="G21" t="s">
        <v>22</v>
      </c>
      <c r="H21" s="8">
        <v>1040</v>
      </c>
      <c r="I21" s="8">
        <v>1200</v>
      </c>
      <c r="J21">
        <f t="shared" si="0"/>
        <v>2400</v>
      </c>
      <c r="K21" s="4">
        <v>6.92</v>
      </c>
      <c r="L21" s="5">
        <f>(H21+I21+J21)*K21</f>
        <v>32108.799999999999</v>
      </c>
      <c r="M21" s="6">
        <v>2.7732375000000005</v>
      </c>
      <c r="N21" s="6">
        <f>M21*H21</f>
        <v>2884.1670000000004</v>
      </c>
      <c r="O21" s="6">
        <f>M21*I21</f>
        <v>3327.8850000000007</v>
      </c>
      <c r="P21" s="6">
        <f>M21*J21</f>
        <v>6655.7700000000013</v>
      </c>
      <c r="Q21">
        <v>73064000</v>
      </c>
    </row>
    <row r="22" spans="1:17" x14ac:dyDescent="0.35">
      <c r="A22" s="7">
        <v>21</v>
      </c>
      <c r="B22" s="7" t="s">
        <v>62</v>
      </c>
      <c r="C22" t="s">
        <v>19</v>
      </c>
      <c r="D22" t="s">
        <v>40</v>
      </c>
      <c r="E22">
        <v>304</v>
      </c>
      <c r="F22" t="s">
        <v>63</v>
      </c>
      <c r="G22" t="s">
        <v>22</v>
      </c>
      <c r="H22">
        <v>600</v>
      </c>
      <c r="I22" s="8">
        <v>900</v>
      </c>
      <c r="J22">
        <f t="shared" si="0"/>
        <v>1800</v>
      </c>
      <c r="K22" s="4">
        <v>9.27</v>
      </c>
      <c r="L22" s="5">
        <f>(H22+I22+J22)*K22</f>
        <v>30591</v>
      </c>
      <c r="M22" s="6">
        <v>3.7162124999999997</v>
      </c>
      <c r="N22" s="6">
        <f>M22*H22</f>
        <v>2229.7275</v>
      </c>
      <c r="O22" s="6">
        <f>M22*I22</f>
        <v>3344.5912499999999</v>
      </c>
      <c r="P22" s="6">
        <f>M22*J22</f>
        <v>6689.1824999999999</v>
      </c>
      <c r="Q22">
        <v>73064000</v>
      </c>
    </row>
    <row r="23" spans="1:17" x14ac:dyDescent="0.35">
      <c r="A23" s="3">
        <v>22</v>
      </c>
      <c r="B23" s="3" t="s">
        <v>64</v>
      </c>
      <c r="C23" t="s">
        <v>19</v>
      </c>
      <c r="D23" t="s">
        <v>65</v>
      </c>
      <c r="E23">
        <v>304</v>
      </c>
      <c r="F23" t="s">
        <v>66</v>
      </c>
      <c r="G23" t="s">
        <v>22</v>
      </c>
      <c r="H23">
        <v>120</v>
      </c>
      <c r="K23" s="4">
        <v>18.190000000000001</v>
      </c>
      <c r="L23" s="5">
        <f>(H23+I23+J23)*K23</f>
        <v>2182.8000000000002</v>
      </c>
      <c r="M23" s="6">
        <v>6.1870000000000003</v>
      </c>
      <c r="N23" s="6">
        <f>M23*H23</f>
        <v>742.44</v>
      </c>
      <c r="O23" s="6"/>
      <c r="P23" s="6"/>
      <c r="Q23">
        <v>73064000</v>
      </c>
    </row>
    <row r="24" spans="1:17" x14ac:dyDescent="0.35">
      <c r="A24" s="3">
        <v>23</v>
      </c>
      <c r="B24" s="3" t="s">
        <v>67</v>
      </c>
      <c r="C24" t="s">
        <v>19</v>
      </c>
      <c r="D24" t="s">
        <v>65</v>
      </c>
      <c r="E24">
        <v>304</v>
      </c>
      <c r="F24" t="s">
        <v>68</v>
      </c>
      <c r="G24" t="s">
        <v>22</v>
      </c>
      <c r="H24">
        <v>120</v>
      </c>
      <c r="K24" s="4">
        <v>21.89</v>
      </c>
      <c r="L24" s="5">
        <f>(H24+I24+J24)*K24</f>
        <v>2626.8</v>
      </c>
      <c r="M24" s="6">
        <v>7.444</v>
      </c>
      <c r="N24" s="6">
        <f>M24*H24</f>
        <v>893.28</v>
      </c>
      <c r="O24" s="6"/>
      <c r="P24" s="6"/>
      <c r="Q24">
        <v>73064000</v>
      </c>
    </row>
    <row r="25" spans="1:17" x14ac:dyDescent="0.35">
      <c r="A25" s="3">
        <v>24</v>
      </c>
      <c r="B25" s="3" t="s">
        <v>69</v>
      </c>
      <c r="C25" t="s">
        <v>19</v>
      </c>
      <c r="D25" t="s">
        <v>65</v>
      </c>
      <c r="E25">
        <v>304</v>
      </c>
      <c r="F25" t="s">
        <v>70</v>
      </c>
      <c r="G25" t="s">
        <v>22</v>
      </c>
      <c r="H25">
        <v>120</v>
      </c>
      <c r="K25" s="4">
        <v>29.28</v>
      </c>
      <c r="L25" s="5">
        <f>(H25+I25+J25)*K25</f>
        <v>3513.6000000000004</v>
      </c>
      <c r="M25" s="6">
        <v>9.9594000000000005</v>
      </c>
      <c r="N25" s="6">
        <f>M25*H25</f>
        <v>1195.1280000000002</v>
      </c>
      <c r="O25" s="6"/>
      <c r="P25" s="6"/>
      <c r="Q25">
        <v>73064000</v>
      </c>
    </row>
    <row r="26" spans="1:17" x14ac:dyDescent="0.35">
      <c r="K26" s="4"/>
      <c r="L26" s="4">
        <f>SUM(L2:L25)</f>
        <v>269628.81999999995</v>
      </c>
      <c r="M26" s="6"/>
      <c r="N26" s="6">
        <f>SUM(N2:N25)</f>
        <v>26801.872068749999</v>
      </c>
      <c r="O26" s="6">
        <f t="shared" ref="O26:P26" si="1">SUM(O2:O25)</f>
        <v>26648.364352500004</v>
      </c>
      <c r="P26" s="6">
        <f t="shared" si="1"/>
        <v>53296.728705000009</v>
      </c>
    </row>
    <row r="28" spans="1:17" x14ac:dyDescent="0.35">
      <c r="B28" t="s">
        <v>71</v>
      </c>
    </row>
    <row r="29" spans="1:17" x14ac:dyDescent="0.35">
      <c r="B29" t="s">
        <v>72</v>
      </c>
    </row>
    <row r="30" spans="1:17" x14ac:dyDescent="0.35">
      <c r="B30" t="s">
        <v>73</v>
      </c>
    </row>
    <row r="31" spans="1:17" x14ac:dyDescent="0.35">
      <c r="B31" t="s">
        <v>74</v>
      </c>
    </row>
    <row r="32" spans="1:17" x14ac:dyDescent="0.35">
      <c r="B32" t="s">
        <v>75</v>
      </c>
    </row>
    <row r="33" spans="1:16" x14ac:dyDescent="0.35">
      <c r="B33" t="s">
        <v>76</v>
      </c>
    </row>
    <row r="35" spans="1:16" x14ac:dyDescent="0.35">
      <c r="B35" t="s">
        <v>77</v>
      </c>
    </row>
    <row r="37" spans="1:16" ht="29" x14ac:dyDescent="0.3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/>
      <c r="J37" s="1" t="s">
        <v>10</v>
      </c>
      <c r="K37" s="1" t="s">
        <v>11</v>
      </c>
      <c r="L37" s="1" t="s">
        <v>12</v>
      </c>
      <c r="M37" s="1" t="s">
        <v>13</v>
      </c>
      <c r="N37" s="1"/>
      <c r="O37" s="1" t="s">
        <v>16</v>
      </c>
      <c r="P37" s="1" t="s">
        <v>17</v>
      </c>
    </row>
    <row r="38" spans="1:16" x14ac:dyDescent="0.35">
      <c r="A38">
        <v>1</v>
      </c>
      <c r="B38" t="s">
        <v>78</v>
      </c>
      <c r="C38" t="s">
        <v>79</v>
      </c>
      <c r="D38" t="s">
        <v>80</v>
      </c>
      <c r="E38" s="9">
        <v>304</v>
      </c>
      <c r="F38" t="s">
        <v>81</v>
      </c>
      <c r="G38" t="s">
        <v>22</v>
      </c>
      <c r="H38" s="9">
        <v>210</v>
      </c>
      <c r="I38" s="9"/>
      <c r="J38" s="4">
        <f>_xlfn.XLOOKUP(B38,[1]cotação!B:B,[1]cotação!S:S,0,0,1)</f>
        <v>2.39</v>
      </c>
      <c r="K38" s="4">
        <f>(H38+I38)*J38</f>
        <v>501.90000000000003</v>
      </c>
      <c r="L38" s="6">
        <v>0.65154374999999998</v>
      </c>
      <c r="M38" s="6">
        <f>H38*L38</f>
        <v>136.82418749999999</v>
      </c>
      <c r="N38" s="6"/>
      <c r="O38">
        <v>73064000</v>
      </c>
      <c r="P38" s="6"/>
    </row>
    <row r="39" spans="1:16" x14ac:dyDescent="0.35">
      <c r="A39">
        <v>2</v>
      </c>
      <c r="B39" t="s">
        <v>82</v>
      </c>
      <c r="C39" t="s">
        <v>79</v>
      </c>
      <c r="D39" t="s">
        <v>80</v>
      </c>
      <c r="E39" s="9">
        <v>304</v>
      </c>
      <c r="F39" t="s">
        <v>83</v>
      </c>
      <c r="G39" t="s">
        <v>22</v>
      </c>
      <c r="H39" s="9">
        <v>1500</v>
      </c>
      <c r="I39" s="9"/>
      <c r="J39" s="4">
        <f>_xlfn.XLOOKUP(B39,[1]cotação!B:B,[1]cotação!S:S,0,0,1)</f>
        <v>3.25</v>
      </c>
      <c r="K39" s="4">
        <f t="shared" ref="K39:K55" si="2">(H39+I39)*J39</f>
        <v>4875</v>
      </c>
      <c r="L39" s="6">
        <v>0.8872874999999999</v>
      </c>
      <c r="M39" s="6">
        <f>H39*L39</f>
        <v>1330.9312499999999</v>
      </c>
      <c r="N39" s="6"/>
      <c r="O39">
        <v>73064000</v>
      </c>
      <c r="P39" s="6"/>
    </row>
    <row r="40" spans="1:16" x14ac:dyDescent="0.35">
      <c r="A40">
        <v>3</v>
      </c>
      <c r="B40" t="s">
        <v>84</v>
      </c>
      <c r="C40" t="s">
        <v>79</v>
      </c>
      <c r="D40" t="s">
        <v>80</v>
      </c>
      <c r="E40" s="9">
        <v>304</v>
      </c>
      <c r="F40" t="s">
        <v>85</v>
      </c>
      <c r="G40" t="s">
        <v>22</v>
      </c>
      <c r="H40" s="9">
        <v>270</v>
      </c>
      <c r="I40" s="9"/>
      <c r="J40" s="4">
        <f>_xlfn.XLOOKUP(B40,[1]cotação!B:B,[1]cotação!S:S,0,0,1)</f>
        <v>4.12</v>
      </c>
      <c r="K40" s="4">
        <f t="shared" si="2"/>
        <v>1112.4000000000001</v>
      </c>
      <c r="L40" s="6">
        <v>1.1230312500000001</v>
      </c>
      <c r="M40" s="6">
        <f>H40*L40</f>
        <v>303.21843750000005</v>
      </c>
      <c r="N40" s="6"/>
      <c r="O40">
        <v>73064000</v>
      </c>
      <c r="P40" s="6"/>
    </row>
    <row r="41" spans="1:16" x14ac:dyDescent="0.35">
      <c r="A41">
        <v>4</v>
      </c>
      <c r="B41" t="s">
        <v>86</v>
      </c>
      <c r="C41" t="s">
        <v>79</v>
      </c>
      <c r="D41" t="s">
        <v>80</v>
      </c>
      <c r="E41" s="9">
        <v>304</v>
      </c>
      <c r="F41" t="s">
        <v>87</v>
      </c>
      <c r="G41" t="s">
        <v>22</v>
      </c>
      <c r="H41" s="9">
        <v>1860</v>
      </c>
      <c r="I41" s="9"/>
      <c r="J41" s="4">
        <f>_xlfn.XLOOKUP(B41,[1]cotação!B:B,[1]cotação!S:S,0,0,1)</f>
        <v>4.9800000000000004</v>
      </c>
      <c r="K41" s="4">
        <f t="shared" si="2"/>
        <v>9262.8000000000011</v>
      </c>
      <c r="L41" s="6">
        <v>1.3587750000000003</v>
      </c>
      <c r="M41" s="6">
        <f>H41*L41</f>
        <v>2527.3215000000005</v>
      </c>
      <c r="N41" s="6"/>
      <c r="O41">
        <v>73064000</v>
      </c>
      <c r="P41" s="6"/>
    </row>
    <row r="42" spans="1:16" x14ac:dyDescent="0.35">
      <c r="A42">
        <v>5</v>
      </c>
      <c r="B42" t="s">
        <v>88</v>
      </c>
      <c r="C42" t="s">
        <v>79</v>
      </c>
      <c r="D42" t="s">
        <v>80</v>
      </c>
      <c r="E42" s="9">
        <v>304</v>
      </c>
      <c r="F42" t="s">
        <v>89</v>
      </c>
      <c r="G42" t="s">
        <v>22</v>
      </c>
      <c r="H42" s="9">
        <v>4800</v>
      </c>
      <c r="I42" s="9"/>
      <c r="J42" s="4">
        <f>_xlfn.XLOOKUP(B42,[1]cotação!B:B,[1]cotação!S:S,0,0,1)</f>
        <v>6.71</v>
      </c>
      <c r="K42" s="4">
        <f t="shared" si="2"/>
        <v>32208</v>
      </c>
      <c r="L42" s="6">
        <v>1.8302624999999999</v>
      </c>
      <c r="M42" s="6">
        <f>H42*L42</f>
        <v>8785.26</v>
      </c>
      <c r="N42" s="6"/>
      <c r="O42">
        <v>73064000</v>
      </c>
      <c r="P42" s="6"/>
    </row>
    <row r="43" spans="1:16" x14ac:dyDescent="0.35">
      <c r="A43">
        <v>6</v>
      </c>
      <c r="B43" t="s">
        <v>90</v>
      </c>
      <c r="C43" t="s">
        <v>79</v>
      </c>
      <c r="D43" t="s">
        <v>80</v>
      </c>
      <c r="E43" s="9">
        <v>304</v>
      </c>
      <c r="F43" t="s">
        <v>91</v>
      </c>
      <c r="G43" t="s">
        <v>22</v>
      </c>
      <c r="H43" s="9">
        <v>210</v>
      </c>
      <c r="I43" s="9"/>
      <c r="J43" s="4">
        <f>_xlfn.XLOOKUP(B43,[1]cotação!B:B,[1]cotação!S:S,0,0,1)</f>
        <v>8.44</v>
      </c>
      <c r="K43" s="4">
        <f t="shared" si="2"/>
        <v>1772.3999999999999</v>
      </c>
      <c r="L43" s="6">
        <v>2.3017500000000002</v>
      </c>
      <c r="M43" s="6">
        <f>H43*L43</f>
        <v>483.36750000000006</v>
      </c>
      <c r="N43" s="6"/>
      <c r="O43">
        <v>73064000</v>
      </c>
      <c r="P43" s="6"/>
    </row>
    <row r="44" spans="1:16" x14ac:dyDescent="0.35">
      <c r="A44">
        <v>7</v>
      </c>
      <c r="B44" t="s">
        <v>92</v>
      </c>
      <c r="C44" t="s">
        <v>79</v>
      </c>
      <c r="D44" t="s">
        <v>80</v>
      </c>
      <c r="E44" s="9">
        <v>304</v>
      </c>
      <c r="F44" t="s">
        <v>93</v>
      </c>
      <c r="G44" t="s">
        <v>22</v>
      </c>
      <c r="H44" s="9">
        <v>480</v>
      </c>
      <c r="I44" s="9"/>
      <c r="J44" s="4">
        <f>_xlfn.XLOOKUP(B44,[1]cotação!B:B,[1]cotação!S:S,0,0,1)</f>
        <v>10.17</v>
      </c>
      <c r="K44" s="4">
        <f t="shared" si="2"/>
        <v>4881.6000000000004</v>
      </c>
      <c r="L44" s="6">
        <v>2.7732375000000005</v>
      </c>
      <c r="M44" s="6">
        <f>H44*L44</f>
        <v>1331.1540000000002</v>
      </c>
      <c r="N44" s="6"/>
      <c r="O44">
        <v>73064000</v>
      </c>
      <c r="P44" s="6"/>
    </row>
    <row r="45" spans="1:16" x14ac:dyDescent="0.35">
      <c r="A45">
        <v>8</v>
      </c>
      <c r="B45" t="s">
        <v>94</v>
      </c>
      <c r="C45" t="s">
        <v>79</v>
      </c>
      <c r="D45" t="s">
        <v>80</v>
      </c>
      <c r="E45" s="9">
        <v>304</v>
      </c>
      <c r="F45" t="s">
        <v>95</v>
      </c>
      <c r="G45" t="s">
        <v>22</v>
      </c>
      <c r="H45" s="9">
        <v>780</v>
      </c>
      <c r="I45" s="9"/>
      <c r="J45" s="4">
        <f>_xlfn.XLOOKUP(B45,[1]cotação!B:B,[1]cotação!S:S,0,0,1)</f>
        <v>13.47</v>
      </c>
      <c r="K45" s="4">
        <f t="shared" si="2"/>
        <v>10506.6</v>
      </c>
      <c r="L45" s="6">
        <v>3.6729000000000003</v>
      </c>
      <c r="M45" s="6">
        <f>H45*L45</f>
        <v>2864.8620000000001</v>
      </c>
      <c r="N45" s="6"/>
      <c r="O45">
        <v>73064000</v>
      </c>
      <c r="P45" s="6"/>
    </row>
    <row r="46" spans="1:16" x14ac:dyDescent="0.35">
      <c r="A46">
        <v>9</v>
      </c>
      <c r="B46" t="s">
        <v>96</v>
      </c>
      <c r="C46" t="s">
        <v>79</v>
      </c>
      <c r="D46" t="s">
        <v>80</v>
      </c>
      <c r="E46" s="9">
        <v>304</v>
      </c>
      <c r="F46" t="s">
        <v>97</v>
      </c>
      <c r="G46" t="s">
        <v>22</v>
      </c>
      <c r="H46" s="9">
        <v>210</v>
      </c>
      <c r="I46" s="9"/>
      <c r="J46" s="4">
        <f>_xlfn.XLOOKUP(B46,[1]cotação!B:B,[1]cotação!S:S,0,0,1)</f>
        <v>13.63</v>
      </c>
      <c r="K46" s="4">
        <f t="shared" si="2"/>
        <v>2862.3</v>
      </c>
      <c r="L46" s="6">
        <v>3.7162124999999997</v>
      </c>
      <c r="M46" s="6">
        <f>H46*L46</f>
        <v>780.4046249999999</v>
      </c>
      <c r="N46" s="6"/>
      <c r="O46">
        <v>73064000</v>
      </c>
      <c r="P46" s="6"/>
    </row>
    <row r="47" spans="1:16" x14ac:dyDescent="0.35">
      <c r="A47">
        <v>10</v>
      </c>
      <c r="B47" t="s">
        <v>98</v>
      </c>
      <c r="C47" t="s">
        <v>79</v>
      </c>
      <c r="D47" t="s">
        <v>80</v>
      </c>
      <c r="E47" s="9">
        <v>304</v>
      </c>
      <c r="F47" t="s">
        <v>99</v>
      </c>
      <c r="G47" t="s">
        <v>22</v>
      </c>
      <c r="H47" s="9">
        <v>510</v>
      </c>
      <c r="I47" s="9"/>
      <c r="J47" s="4">
        <f>_xlfn.XLOOKUP(B47,[1]cotação!B:B,[1]cotação!S:S,0,0,1)</f>
        <v>18.079999999999998</v>
      </c>
      <c r="K47" s="4">
        <f t="shared" si="2"/>
        <v>9220.7999999999993</v>
      </c>
      <c r="L47" s="6">
        <v>4.9302000000000001</v>
      </c>
      <c r="M47" s="6">
        <f>H47*L47</f>
        <v>2514.402</v>
      </c>
      <c r="N47" s="6"/>
      <c r="O47">
        <v>73064000</v>
      </c>
      <c r="P47" s="6"/>
    </row>
    <row r="48" spans="1:16" x14ac:dyDescent="0.35">
      <c r="A48">
        <v>11</v>
      </c>
      <c r="B48" t="s">
        <v>100</v>
      </c>
      <c r="C48" t="s">
        <v>79</v>
      </c>
      <c r="D48" t="s">
        <v>80</v>
      </c>
      <c r="E48" s="9">
        <v>304</v>
      </c>
      <c r="F48" t="s">
        <v>101</v>
      </c>
      <c r="G48" t="s">
        <v>22</v>
      </c>
      <c r="H48" s="9">
        <v>90</v>
      </c>
      <c r="I48" s="9"/>
      <c r="J48" s="4">
        <f>_xlfn.XLOOKUP(B48,[1]cotação!B:B,[1]cotação!S:S,0,0,1)</f>
        <v>24.52</v>
      </c>
      <c r="K48" s="4">
        <f t="shared" si="2"/>
        <v>2206.8000000000002</v>
      </c>
      <c r="L48" s="6">
        <v>6.1875</v>
      </c>
      <c r="M48" s="6">
        <f>H48*L48</f>
        <v>556.875</v>
      </c>
      <c r="N48" s="6"/>
      <c r="O48">
        <v>73064000</v>
      </c>
      <c r="P48" s="6"/>
    </row>
    <row r="49" spans="1:16" x14ac:dyDescent="0.35">
      <c r="A49">
        <v>12</v>
      </c>
      <c r="B49" t="s">
        <v>102</v>
      </c>
      <c r="C49" t="s">
        <v>79</v>
      </c>
      <c r="D49" t="s">
        <v>80</v>
      </c>
      <c r="E49" s="9">
        <v>304</v>
      </c>
      <c r="F49" t="s">
        <v>103</v>
      </c>
      <c r="G49" t="s">
        <v>22</v>
      </c>
      <c r="H49" s="9">
        <v>210</v>
      </c>
      <c r="I49" s="9"/>
      <c r="J49" s="4">
        <f>_xlfn.XLOOKUP(B49,[1]cotação!B:B,[1]cotação!S:S,0,0,1)</f>
        <v>29.5</v>
      </c>
      <c r="K49" s="4">
        <f t="shared" si="2"/>
        <v>6195</v>
      </c>
      <c r="L49" s="6">
        <v>7.4448000000000008</v>
      </c>
      <c r="M49" s="6">
        <f>H49*L49</f>
        <v>1563.4080000000001</v>
      </c>
      <c r="N49" s="6"/>
      <c r="O49">
        <v>73064000</v>
      </c>
      <c r="P49" s="6"/>
    </row>
    <row r="50" spans="1:16" x14ac:dyDescent="0.35">
      <c r="A50">
        <v>13</v>
      </c>
      <c r="B50" t="s">
        <v>104</v>
      </c>
      <c r="C50" t="s">
        <v>79</v>
      </c>
      <c r="D50" t="s">
        <v>80</v>
      </c>
      <c r="E50" s="9">
        <v>304</v>
      </c>
      <c r="F50" t="s">
        <v>105</v>
      </c>
      <c r="G50" t="s">
        <v>22</v>
      </c>
      <c r="H50" s="9">
        <v>120</v>
      </c>
      <c r="I50" s="9"/>
      <c r="J50" s="4">
        <f>_xlfn.XLOOKUP(B50,[1]cotação!B:B,[1]cotação!S:S,0,0,1)</f>
        <v>0</v>
      </c>
      <c r="K50" s="4">
        <f t="shared" si="2"/>
        <v>0</v>
      </c>
      <c r="L50" s="6">
        <v>1.583</v>
      </c>
      <c r="M50" s="6">
        <f>H50*L50</f>
        <v>189.96</v>
      </c>
      <c r="N50" s="6"/>
      <c r="O50">
        <v>73064000</v>
      </c>
      <c r="P50" s="6"/>
    </row>
    <row r="51" spans="1:16" x14ac:dyDescent="0.35">
      <c r="A51">
        <v>14</v>
      </c>
      <c r="B51" t="s">
        <v>106</v>
      </c>
      <c r="C51" t="s">
        <v>79</v>
      </c>
      <c r="D51" t="s">
        <v>80</v>
      </c>
      <c r="E51" s="9">
        <v>304</v>
      </c>
      <c r="F51" t="s">
        <v>107</v>
      </c>
      <c r="G51" t="s">
        <v>22</v>
      </c>
      <c r="H51" s="9">
        <v>180</v>
      </c>
      <c r="I51" s="9"/>
      <c r="J51" s="4">
        <f>_xlfn.XLOOKUP(B51,[1]cotação!B:B,[1]cotação!S:S,0,0,1)</f>
        <v>0</v>
      </c>
      <c r="K51" s="4">
        <f t="shared" si="2"/>
        <v>0</v>
      </c>
      <c r="L51" s="6">
        <v>1.7869999999999999</v>
      </c>
      <c r="M51" s="6">
        <f>H51*L51</f>
        <v>321.65999999999997</v>
      </c>
      <c r="N51" s="6"/>
      <c r="O51">
        <v>73064000</v>
      </c>
      <c r="P51" s="6"/>
    </row>
    <row r="52" spans="1:16" x14ac:dyDescent="0.35">
      <c r="A52">
        <v>15</v>
      </c>
      <c r="B52" t="s">
        <v>108</v>
      </c>
      <c r="C52" t="s">
        <v>79</v>
      </c>
      <c r="D52" t="s">
        <v>80</v>
      </c>
      <c r="E52" s="9">
        <v>304</v>
      </c>
      <c r="F52" t="s">
        <v>109</v>
      </c>
      <c r="G52" t="s">
        <v>22</v>
      </c>
      <c r="H52" s="9">
        <v>180</v>
      </c>
      <c r="I52" s="9"/>
      <c r="J52" s="4">
        <f>_xlfn.XLOOKUP(B52,[1]cotação!B:B,[1]cotação!S:S,0,0,1)</f>
        <v>0</v>
      </c>
      <c r="K52" s="4">
        <f t="shared" si="2"/>
        <v>0</v>
      </c>
      <c r="L52" s="6">
        <v>2.4156</v>
      </c>
      <c r="M52" s="6">
        <f>H52*L52</f>
        <v>434.80799999999999</v>
      </c>
      <c r="N52" s="6"/>
      <c r="O52">
        <v>73064000</v>
      </c>
      <c r="P52" s="6"/>
    </row>
    <row r="53" spans="1:16" x14ac:dyDescent="0.35">
      <c r="A53">
        <v>16</v>
      </c>
      <c r="B53" t="s">
        <v>92</v>
      </c>
      <c r="C53" t="s">
        <v>79</v>
      </c>
      <c r="D53" t="s">
        <v>80</v>
      </c>
      <c r="E53" s="9">
        <v>304</v>
      </c>
      <c r="F53" t="s">
        <v>110</v>
      </c>
      <c r="G53" t="s">
        <v>22</v>
      </c>
      <c r="H53" s="9">
        <v>270</v>
      </c>
      <c r="I53" s="9"/>
      <c r="J53" s="4">
        <f>_xlfn.XLOOKUP(B53,[1]cotação!B:B,[1]cotação!S:S,0,0,1)</f>
        <v>10.17</v>
      </c>
      <c r="K53" s="4">
        <f t="shared" si="2"/>
        <v>2745.9</v>
      </c>
      <c r="L53" s="6">
        <v>2.7732000000000001</v>
      </c>
      <c r="M53" s="6">
        <f>H53*L53</f>
        <v>748.76400000000001</v>
      </c>
      <c r="N53" s="6"/>
      <c r="O53">
        <v>73064000</v>
      </c>
      <c r="P53" s="6"/>
    </row>
    <row r="54" spans="1:16" x14ac:dyDescent="0.35">
      <c r="A54">
        <v>17</v>
      </c>
      <c r="B54" s="10" t="s">
        <v>96</v>
      </c>
      <c r="C54" s="10" t="s">
        <v>79</v>
      </c>
      <c r="D54" s="10" t="s">
        <v>80</v>
      </c>
      <c r="E54" s="9">
        <v>304</v>
      </c>
      <c r="F54" s="10" t="s">
        <v>111</v>
      </c>
      <c r="G54" s="10" t="s">
        <v>22</v>
      </c>
      <c r="H54" s="9">
        <v>240</v>
      </c>
      <c r="I54" s="9"/>
      <c r="J54" s="4">
        <f>_xlfn.XLOOKUP(B54,[1]cotação!B:B,[1]cotação!S:S,0,0,1)</f>
        <v>13.63</v>
      </c>
      <c r="K54" s="4">
        <f t="shared" si="2"/>
        <v>3271.2000000000003</v>
      </c>
      <c r="L54" s="6">
        <v>3.7162000000000002</v>
      </c>
      <c r="M54" s="6">
        <f>H54*L54</f>
        <v>891.88800000000003</v>
      </c>
      <c r="N54" s="6"/>
      <c r="O54">
        <v>73064000</v>
      </c>
      <c r="P54" s="6"/>
    </row>
    <row r="55" spans="1:16" x14ac:dyDescent="0.35">
      <c r="A55">
        <v>18</v>
      </c>
      <c r="B55" s="11" t="s">
        <v>112</v>
      </c>
      <c r="C55" s="11" t="s">
        <v>79</v>
      </c>
      <c r="D55" s="11" t="s">
        <v>80</v>
      </c>
      <c r="E55" s="12">
        <v>304</v>
      </c>
      <c r="F55" s="11" t="s">
        <v>113</v>
      </c>
      <c r="G55" s="11" t="s">
        <v>22</v>
      </c>
      <c r="H55" s="9">
        <v>210</v>
      </c>
      <c r="I55" s="9"/>
      <c r="J55" s="4">
        <v>1.55</v>
      </c>
      <c r="K55" s="4">
        <f t="shared" si="2"/>
        <v>325.5</v>
      </c>
      <c r="L55" s="6">
        <v>4.7161999999999997</v>
      </c>
      <c r="M55" s="6">
        <f>H55*L55</f>
        <v>990.40199999999993</v>
      </c>
      <c r="N55" s="6"/>
      <c r="O55">
        <v>73064000</v>
      </c>
    </row>
    <row r="57" spans="1:16" x14ac:dyDescent="0.35">
      <c r="K57" s="4">
        <f>SUM(K38:K56)</f>
        <v>91948.2</v>
      </c>
      <c r="L57" s="4"/>
      <c r="M57">
        <f>SUM(M38:M56)</f>
        <v>26755.510499999993</v>
      </c>
      <c r="N57">
        <f>SUM(N38:N56)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Q2026-03 pedido MLTI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Plasnox</dc:creator>
  <cp:lastModifiedBy>Marcos Plasnox</cp:lastModifiedBy>
  <dcterms:created xsi:type="dcterms:W3CDTF">2026-06-03T02:12:39Z</dcterms:created>
  <dcterms:modified xsi:type="dcterms:W3CDTF">2026-06-03T02:14:55Z</dcterms:modified>
</cp:coreProperties>
</file>